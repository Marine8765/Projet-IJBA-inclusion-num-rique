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met_lieux_inclusion_numeriq" sheetId="1" r:id="rId5"/>
  </sheets>
  <definedNames>
    <definedName hidden="1" localSheetId="0" name="_xlnm._FilterDatabase">RAW_met_lieux_inclusion_numeriq!$A$1:$AR$126</definedName>
  </definedNames>
  <calcPr/>
</workbook>
</file>

<file path=xl/sharedStrings.xml><?xml version="1.0" encoding="utf-8"?>
<sst xmlns="http://schemas.openxmlformats.org/spreadsheetml/2006/main" count="3494" uniqueCount="1686">
  <si>
    <t>id</t>
  </si>
  <si>
    <t>nom</t>
  </si>
  <si>
    <t>type_lieu</t>
  </si>
  <si>
    <t>nature_juridique</t>
  </si>
  <si>
    <t>statut</t>
  </si>
  <si>
    <t>structure_porteuse</t>
  </si>
  <si>
    <t>siret</t>
  </si>
  <si>
    <t>description</t>
  </si>
  <si>
    <t>adresse_brut</t>
  </si>
  <si>
    <t>adresse_numero</t>
  </si>
  <si>
    <t>adresse_rue</t>
  </si>
  <si>
    <t>adresse_code_postal</t>
  </si>
  <si>
    <t>adresse_code_insee</t>
  </si>
  <si>
    <t>adresse_commune</t>
  </si>
  <si>
    <t>adresse_departement</t>
  </si>
  <si>
    <t>adresse_region</t>
  </si>
  <si>
    <t>adresse_complément</t>
  </si>
  <si>
    <t>latitude</t>
  </si>
  <si>
    <t>longitude</t>
  </si>
  <si>
    <t>itinerant</t>
  </si>
  <si>
    <t>en_ligne</t>
  </si>
  <si>
    <t>contact_telephone</t>
  </si>
  <si>
    <t>contact_telephone_complement</t>
  </si>
  <si>
    <t>contact_telephone_details</t>
  </si>
  <si>
    <t>contact_telephone_complement_detail</t>
  </si>
  <si>
    <t>contact_email</t>
  </si>
  <si>
    <t>contact_web</t>
  </si>
  <si>
    <t>contact_facebook</t>
  </si>
  <si>
    <t>horaires_ouverture_brut</t>
  </si>
  <si>
    <t>horaires_ouverture_osm</t>
  </si>
  <si>
    <t>public_cible</t>
  </si>
  <si>
    <t>modalites_acces</t>
  </si>
  <si>
    <t>modalites_accompagnement</t>
  </si>
  <si>
    <t>tarifs</t>
  </si>
  <si>
    <t>Gratuit ou pas</t>
  </si>
  <si>
    <t>accessibilite</t>
  </si>
  <si>
    <t>services</t>
  </si>
  <si>
    <t>niveau_service</t>
  </si>
  <si>
    <t>labels</t>
  </si>
  <si>
    <t>geo_point</t>
  </si>
  <si>
    <t>8</t>
  </si>
  <si>
    <t>Emmaüs Connect</t>
  </si>
  <si>
    <t>Association</t>
  </si>
  <si>
    <t>Privé</t>
  </si>
  <si>
    <t>Nous mettons en place des activités dédiées à accompagner les personnes en difficulté numérique dans leur parcours. Nous les aidons à accéder à une offre solidaire pour s’équiper et se connecter tout en leur fournissant des outils pédagogiques pour appréhender seules ou accompagnées les services numériques essentiels à leur insertion sociale et professionnelle.</t>
  </si>
  <si>
    <t>38 cours des Aubiers</t>
  </si>
  <si>
    <t>Cours des Aubiers</t>
  </si>
  <si>
    <t>Bordeaux</t>
  </si>
  <si>
    <t>Gironde</t>
  </si>
  <si>
    <t>Nouvelle Aquitaine</t>
  </si>
  <si>
    <t>44.8729813595829</t>
  </si>
  <si>
    <t>-0.57225924758073</t>
  </si>
  <si>
    <t>Non</t>
  </si>
  <si>
    <t>Mardi au Jeudi : 10h-13h/14h-17h45. Vendredi 10h-13h/14h-16h45.</t>
  </si>
  <si>
    <t>csbordeaux@emmaus-connect.org</t>
  </si>
  <si>
    <t>https://emmaus-connect.org/bordeaux/</t>
  </si>
  <si>
    <t>Tu-Th 10:00-13:00,14:00-17:45; Fr 10:00-13:00,14:00-16:45</t>
  </si>
  <si>
    <t>Tout public</t>
  </si>
  <si>
    <t>Sur inscription ou rendez-vous</t>
  </si>
  <si>
    <t>Collectif</t>
  </si>
  <si>
    <t>Gratuit,Adhérent</t>
  </si>
  <si>
    <t>Accès à un équipement informatique,Le public peut amener son propre matériel</t>
  </si>
  <si>
    <t>TABLETTE/Expert,ORDI/Expert,INTERNET/Expert,MAILS/Expert,CV/Maîtrise,DIFFCV/Maîtrise,ORGRECHEMPLOI/Maîtrise,EMPLOISTORE/Maîtrise,DECLAPE/Basique,IMPOTS/Basique,DROITSSOCIAUXRSACAF/Basique,RETRAITE/Basique,CPAM/Basique,FACTURES/Basique,ETATCIVIL/Basique,PERMIS/Basique,PHOTO/Non,IMPTROISD/Non,PAO/Non,SITEWEB/Non,CODE/Non,MOOC/Basique</t>
  </si>
  <si>
    <t>44.8729813596, -0.572259247581</t>
  </si>
  <si>
    <t>9</t>
  </si>
  <si>
    <t>L'Atelier de No Working Bordeaux Bacalan</t>
  </si>
  <si>
    <t>Autre / Inconnu</t>
  </si>
  <si>
    <t>Société par Actions Simplifiée (SAS)</t>
  </si>
  <si>
    <t>L'atelier de No Working est un espace d'activités, d'échange et de partage à destination des seniors.</t>
  </si>
  <si>
    <t>19 rue Achard</t>
  </si>
  <si>
    <t>Rue Achard</t>
  </si>
  <si>
    <t>44.8655620407963</t>
  </si>
  <si>
    <t>-0.549216592052866</t>
  </si>
  <si>
    <t>Du Lundi au Vendredi : 9h12h30/13h30-18h.</t>
  </si>
  <si>
    <t>contact@atelierdenoworking.fr</t>
  </si>
  <si>
    <t>https://atelierdenoworking.fr/</t>
  </si>
  <si>
    <t>https://www.facebook.com/atelierdenoworking</t>
  </si>
  <si>
    <t>Mo-Fr 09:00-12:30,13:30-18:00</t>
  </si>
  <si>
    <t>Séniors</t>
  </si>
  <si>
    <t>Individuel,Collectif</t>
  </si>
  <si>
    <t>Payant</t>
  </si>
  <si>
    <t>TABLETTE/Basique,ORDI/Non,INTERNET/Basique,MAILS/Basique,CV/Non,DIFFCV/Non,ORGRECHEMPLOI/Non,EMPLOISTORE/Non,DECLAPE/Non,IMPOTS/Non,DROITSSOCIAUXRSACAF/Non,RETRAITE/Non,CPAM/Non,FACTURES/Non,ETATCIVIL/Non,PERMIS/Non,PHOTO/Basique,IMPTROISD/Non,PAO/Non,SITEWEB/Non,CODE/Non,MOOC/Non</t>
  </si>
  <si>
    <t>44.8655620408, -0.549216592053</t>
  </si>
  <si>
    <t>10</t>
  </si>
  <si>
    <t>Pôle Emploi Gironde - Bordeaux Nord</t>
  </si>
  <si>
    <t>Pôle Emploi</t>
  </si>
  <si>
    <t>Autre</t>
  </si>
  <si>
    <t>Public</t>
  </si>
  <si>
    <t>Accueille et accompagne toute personne à la recherche d'un emploi, d'une formation, d'un conseil professionnelle, d'une aide à la mobilité ou à l'insertion sociale et professionnelle.Indemnise les personnes relevant de l'assurance-chômage. Conseille et accompagne les entreprises dans leurs recrutements. Relaie les politiques publiques en relation avec ses missions.</t>
  </si>
  <si>
    <t>5 place Ravezies</t>
  </si>
  <si>
    <t>Place Ravezies</t>
  </si>
  <si>
    <t>Immeuble le 5</t>
  </si>
  <si>
    <t>44.8373274551188</t>
  </si>
  <si>
    <t>-0.572872104001035</t>
  </si>
  <si>
    <t>Réception sans rendez-vous  les matin du Lundi au Vendredi de 8h30 à 12h30 et sur rendez-vous les après-midi sauf le Jeudi.</t>
  </si>
  <si>
    <t>Non communiqué</t>
  </si>
  <si>
    <t>https://www.pole-emploi.fr</t>
  </si>
  <si>
    <t>Mo-Fr 08:30-12:30</t>
  </si>
  <si>
    <t>Demandeurs d'emploi</t>
  </si>
  <si>
    <t>Gratuit</t>
  </si>
  <si>
    <t>Accès à un équipement informatique</t>
  </si>
  <si>
    <t>TABLETTE/Non,ORDI/Non,INTERNET/Non,MAILS/Non,CV/Expert,DIFFCV/Expert,ORGRECHEMPLOI/Expert,EMPLOISTORE/Expert,DECLAPE/Expert,IMPOTS/Non,DROITSSOCIAUXRSACAF/Non,RETRAITE/Non,CPAM/Non,FACTURES/Non,ETATCIVIL/Non,PERMIS/Non,PHOTO/Non,IMPTROISD/Non,PAO/Non,SITEWEB/Non,CODE/Non,MOOC/Non</t>
  </si>
  <si>
    <t>44.8373274551, -0.572872104001</t>
  </si>
  <si>
    <t>12</t>
  </si>
  <si>
    <t>Chantecler Bordeaux</t>
  </si>
  <si>
    <t>Aujourd’hui c’est 61 activités proposées pour 3600 pratiquants. Cette belle aventure doit sa réussite aux bénévoles, aux salariés et aux adhérents qui se sont succédés au cours de ces 92 années passées. Nous serons donc très prochainement CENTENAIRE… Nous nous sommes attachés à préserver les valeurs qui ont initié CHANTECLER : accueil pour tous, solidarité et esprit d’équipe.</t>
  </si>
  <si>
    <t>impasse Ste Elisabeth</t>
  </si>
  <si>
    <t>Impasse Sainte Elisabeth</t>
  </si>
  <si>
    <t>44.8541256031603</t>
  </si>
  <si>
    <t>-0.57673879988569</t>
  </si>
  <si>
    <t>Lundi, Mardi, Mercredi, Vendredi : 9h-12h30/13h30-18h.</t>
  </si>
  <si>
    <t>http://www.maisondequartierchantecler.fr/</t>
  </si>
  <si>
    <t>https://www.facebook.com/chantecler.asso.7</t>
  </si>
  <si>
    <t>Mo-Fr 09:00-12:30,13:30-18:00; Th off</t>
  </si>
  <si>
    <t>Individuel</t>
  </si>
  <si>
    <t>TABLETTE/Expert,ORDI/Expert,INTERNET/Expert,MAILS/Expert,CV/Basique,DIFFCV/Basique,ORGRECHEMPLOI/Non,EMPLOISTORE/Basique,DECLAPE/Basique,IMPOTS/Basique,DROITSSOCIAUXRSACAF/Basique,RETRAITE/Basique,CPAM/Basique,FACTURES/Basique,ETATCIVIL/Basique,PERMIS/Basique,PHOTO/Basique,IMPTROISD/Non,PAO/Basique,SITEWEB/Non,CODE/Non,MOOC/Non</t>
  </si>
  <si>
    <t>44.8541256032, -0.576738799886</t>
  </si>
  <si>
    <t>14</t>
  </si>
  <si>
    <t>Foyer Fraternel Centre Social</t>
  </si>
  <si>
    <t>Centre social</t>
  </si>
  <si>
    <t>Le Foyer Fraternel est à la fois un centre social &amp; un organisme de formation. Il répond aux besoins éducatifs et de loisirs, aux besoins d’insertion sociale et de solidarité, aux besoins de formation et d’insertion professionnelle. L’association propose notamment des cours de Français (Alpha, FLE) et des ateliers pour le numérique. Elle compte 800 adhérents et 2500 usagers dans les quartiers Chartrons, Grand Parc, Jardin Public.</t>
  </si>
  <si>
    <t>23 rue Gouffrand</t>
  </si>
  <si>
    <t>Rue Gouffrand</t>
  </si>
  <si>
    <t>44.8558462446764</t>
  </si>
  <si>
    <t>-0.572110842345362</t>
  </si>
  <si>
    <t>Lundi au Vendredi : 9h-18h.</t>
  </si>
  <si>
    <t>accueil@foyerfraternel.fr</t>
  </si>
  <si>
    <t>http://www.centresocial-foyerfraternel.fr/</t>
  </si>
  <si>
    <t>https://www.facebook.com/foyerfraternelbordeaux/</t>
  </si>
  <si>
    <t>Mo-Fr 09:00-18:00</t>
  </si>
  <si>
    <t>Allocataires,Demandeurs d'emploi,Etrangers,Jeunes,Séniors</t>
  </si>
  <si>
    <t>Handicap moteur</t>
  </si>
  <si>
    <t>TABLETTE/Expert,ORDI/Expert,INTERNET/Expert,MAILS/Expert,CV/Expert,DIFFCV/Expert,ORGRECHEMPLOI/Expert,EMPLOISTORE/Expert,DECLAPE/Expert,IMPOTS/Non,DROITSSOCIAUXRSACAF/Expert,RETRAITE/Non,CPAM/Expert,FACTURES/Non,ETATCIVIL/Non,PERMIS/Non,PHOTO/Non,IMPTROISD/Non,PAO/Non,SITEWEB/Non,CODE/Non,MOOC/Non</t>
  </si>
  <si>
    <t>Autre dispositif</t>
  </si>
  <si>
    <t>44.8558462447, -0.572110842345</t>
  </si>
  <si>
    <t>17</t>
  </si>
  <si>
    <t>Bibliothèque Mériadeck</t>
  </si>
  <si>
    <t>Bibliothèque / Médiathèque</t>
  </si>
  <si>
    <t>Collectivité locale ou territoriale</t>
  </si>
  <si>
    <t>Mairie de Bordeaux</t>
  </si>
  <si>
    <t>La bibliothèque Mériadeck est la plus grande bibliothèque du réseau bordelais. C'est également l'une des plus grandes bibliothèques municipales de France, avec ses 8 000 m² ouverts au public ! L'offre de documents est vaste : le bâtiment abrite plus d'un million de documents dans des dizaines de kilomètres de rayonnages, soit en accès tout à fait simple et facile, dans les salles, pour l'emprunt à domicile ou la lecture sur place, soit en magasins.</t>
  </si>
  <si>
    <t>85 cours du Maréchal Juin</t>
  </si>
  <si>
    <t>Cours Maréchal Juin</t>
  </si>
  <si>
    <t>44.8351168280552</t>
  </si>
  <si>
    <t>-0.586759237213544</t>
  </si>
  <si>
    <t>Lundi et Jeudi : 13h à 19h / Mardi Mercredi et Vendredi : 10h-19h, Samedi : 10h-18h (espace Patrimoine 13h-18h), Dimanche : 14h-18h d'octobre à avril.</t>
  </si>
  <si>
    <t>dgac.lectpub@mairie-bordeaux.fr</t>
  </si>
  <si>
    <t>http://bibliotheque.bordeaux.fr</t>
  </si>
  <si>
    <t>https://www.facebook.com/bibliotheques.bordeaux/</t>
  </si>
  <si>
    <t>Mo,Th 13:00-19:00; Tu,We,Fr 10:00-19:00; Sa 10:00-18:00; Oct-Apr Su 14:00-18:00</t>
  </si>
  <si>
    <t>TABLETTE/Expert,ORDI/Expert,INTERNET/Expert,MAILS/Expert,CV/Basique,DIFFCV/Basique,ORGRECHEMPLOI/Basique,EMPLOISTORE/Basique,DECLAPE/Basique,IMPOTS/Basique,DROITSSOCIAUXRSACAF/Basique,RETRAITE/Basique,CPAM/Basique,FACTURES/Basique,ETATCIVIL/Basique,PERMIS/Basique,PHOTO/Maîtrise,IMPTROISD/Non,PAO/Maîtrise,SITEWEB/Basique,CODE/Non,MOOC/Maîtrise</t>
  </si>
  <si>
    <t>44.8351168281, -0.586759237214</t>
  </si>
  <si>
    <t>21</t>
  </si>
  <si>
    <t>CRIJ Nouvelle Aquitaine</t>
  </si>
  <si>
    <t>L'information Jeunesse vise à informer tous les Jeunes sur tous les sujets en lien avec leurs démarches d'accès à l'autonomie. Le CRIJ Nouvelle Aquitaine est la tête de réseau régionale des 170 structures IJ du territoire et gère l'accueil des Jeunes sur ses trois sites de Bordeaux, Limoges et Poitiers.</t>
  </si>
  <si>
    <t>125 Cours Alsace Lorraine</t>
  </si>
  <si>
    <t>Cours d'Alsace Et Lorraine</t>
  </si>
  <si>
    <t>44.8374899117795</t>
  </si>
  <si>
    <t>-0.575839282860387</t>
  </si>
  <si>
    <t>Lundi 13h30-17h Mardi à Jeudi 10h-12h et 13h30-17h Vendredi 10h-12h et 13h30-16h30.</t>
  </si>
  <si>
    <t>bordeaux@crijna.fr</t>
  </si>
  <si>
    <t>http://www.jeuneabordeaux.fr/</t>
  </si>
  <si>
    <t>https://www.facebook.com/InfoJeunes.NA.Bordeaux.Europedirect/</t>
  </si>
  <si>
    <t>Mo 13:30-17:00; Tu-Th 10:00-12:00,13:30-17:00; Fr 10:00-12:00,13:30-16:30</t>
  </si>
  <si>
    <t>Jeunes</t>
  </si>
  <si>
    <t>TABLETTE/Maîtrise,ORDI/Maîtrise,INTERNET/Expert,MAILS/Expert,CV/Expert,DIFFCV/Maîtrise,ORGRECHEMPLOI/Expert,EMPLOISTORE/Maîtrise,DECLAPE/Maîtrise,IMPOTS/Maîtrise,DROITSSOCIAUXRSACAF/Maîtrise,RETRAITE/Basique,CPAM/Maîtrise,FACTURES/Maîtrise,ETATCIVIL/Maîtrise,PERMIS/Basique,PHOTO/Basique,IMPTROISD/Non,PAO/Basique,SITEWEB/Non,CODE/Non,MOOC/Maîtrise</t>
  </si>
  <si>
    <t>APTIC</t>
  </si>
  <si>
    <t>44.8374899118, -0.57583928286</t>
  </si>
  <si>
    <t>24</t>
  </si>
  <si>
    <t>Le Nom Lieu</t>
  </si>
  <si>
    <t>Tiers-lieu / Coworking / FabLab / Hackerspace</t>
  </si>
  <si>
    <t>Le Nom Lieu est une association de l'ESS qui accompagne les Jeunes de 16 à 25 ans en situation de fragilité psychique et/ou d'exclusion sociale à partir de leurs affinités dans les domaines du numérique vers leur insertion sociale et professionnelle.</t>
  </si>
  <si>
    <t>Le Node 12 rue des faussets</t>
  </si>
  <si>
    <t>Rue des Faussets</t>
  </si>
  <si>
    <t>Le Node</t>
  </si>
  <si>
    <t>44.840415176588</t>
  </si>
  <si>
    <t>-0.570517578425619</t>
  </si>
  <si>
    <t>Mercredi : 9h-17h, Samedi : 10h-13h.</t>
  </si>
  <si>
    <t>lenomlieu@gmail.com</t>
  </si>
  <si>
    <t>https://lenomlieu.wordpress.com/accueil/</t>
  </si>
  <si>
    <t>https://lenomlieu.org/accueil/?share=facebook&amp;nb=1</t>
  </si>
  <si>
    <t>We 09:00-17:00; Sa 10:00-13:00</t>
  </si>
  <si>
    <t>Allocataires,Demandeurs d'emploi,Jeunes,Personnes en situation de handicap</t>
  </si>
  <si>
    <t>TABLETTE/Expert,ORDI/Expert,INTERNET/Expert,MAILS/Expert,CV/Maîtrise,DIFFCV/Maîtrise,ORGRECHEMPLOI/Maîtrise,EMPLOISTORE/Non,DECLAPE/Non,IMPOTS/Non,DROITSSOCIAUXRSACAF/Non,RETRAITE/Non,CPAM/Non,FACTURES/Non,ETATCIVIL/Non,PERMIS/Non,PHOTO/Expert,IMPTROISD/Maîtrise,PAO/Expert,SITEWEB/Expert,CODE/Expert,MOOC/Expert</t>
  </si>
  <si>
    <t>44.8404151766, -0.570517578426</t>
  </si>
  <si>
    <t>25</t>
  </si>
  <si>
    <t>Oxygène</t>
  </si>
  <si>
    <t>Nos missions s’inscrivent dans le champ de l’insertion sociale et dans la lutte contre les exclusions et l’isolement en amenant notre public, au travers de nos actions, à retisser du lien social, à retrouver confiance et estime de soi. Il s’agit de lever progressivement les freins et les obstacles à l’émergence de projets.</t>
  </si>
  <si>
    <t>27-29 quai Richelieu</t>
  </si>
  <si>
    <t>Quai Richelieu</t>
  </si>
  <si>
    <t>44.8386536722948</t>
  </si>
  <si>
    <t>-0.568043900826017</t>
  </si>
  <si>
    <t>Permanences tous les Mercredi après-midi.</t>
  </si>
  <si>
    <t>oxygene.asso@wanadoo.fr</t>
  </si>
  <si>
    <t>http://oxygene-asso.fr/</t>
  </si>
  <si>
    <t>We 13:30-18:00</t>
  </si>
  <si>
    <t>TABLETTE/Basique,ORDI/Maîtrise,INTERNET/Maîtrise,MAILS/Maîtrise,CV/Maîtrise,DIFFCV/Basique,ORGRECHEMPLOI/Basique,EMPLOISTORE/Non,DECLAPE/Basique,IMPOTS/Basique,DROITSSOCIAUXRSACAF/Basique,RETRAITE/Basique,CPAM/Basique,FACTURES/Basique,ETATCIVIL/Basique,PERMIS/Non,PHOTO/Non,IMPTROISD/Non,PAO/Basique,SITEWEB/Non,CODE/Non,MOOC/Non</t>
  </si>
  <si>
    <t>44.8386536723, -0.568043900826</t>
  </si>
  <si>
    <t>26</t>
  </si>
  <si>
    <t>Philomathique de Bordeaux</t>
  </si>
  <si>
    <t>Centre de formation professionnelle depuis 1808 à Bordeaux, spécialisé historiquement dans les métiers d'arts et d'artisanat et qui propose depuis 2015 des formations en lien avec le numérique, et notamment le web et ses usages. Les formations sont à la fois à destination de publics demandeurs d'emplois, particuliers ou en reconversion professionnelle. Ces actions sont diplômantes ou certifiantes. De plus des actions d'intérêt général sont ouvertes à destination des associations du territoire à travers l'action "A l'Asso du Web".</t>
  </si>
  <si>
    <t>66 rue Abbé de l'Epée</t>
  </si>
  <si>
    <t>Rue Abbé de l'Epée</t>
  </si>
  <si>
    <t>44.8421776416482</t>
  </si>
  <si>
    <t>-0.582816427120468</t>
  </si>
  <si>
    <t>Lundi au Vendredi : 8h30-18 h.</t>
  </si>
  <si>
    <t>communication@philomathiquebordeaux.com</t>
  </si>
  <si>
    <t>https://www.philomathiquebordeaux.com/</t>
  </si>
  <si>
    <t>Mo-Fr 08:30-18:00</t>
  </si>
  <si>
    <t>TABLETTE/Non,ORDI/Non,INTERNET/Non,MAILS/Non,CV/Non,DIFFCV/Non,ORGRECHEMPLOI/Non,EMPLOISTORE/Non,DECLAPE/Non,IMPOTS/Non,DROITSSOCIAUXRSACAF/Non,RETRAITE/Non,CPAM/Non,FACTURES/Non,ETATCIVIL/Non,PERMIS/Non,PHOTO/Non,IMPTROISD/Non,PAO/Non,SITEWEB/Expert,CODE/Expert,MOOC/Non</t>
  </si>
  <si>
    <t>44.8421776416, -0.58281642712</t>
  </si>
  <si>
    <t>29</t>
  </si>
  <si>
    <t>Abracodabra</t>
  </si>
  <si>
    <t>Société à responsabilité limitée (SARL)</t>
  </si>
  <si>
    <t>Abracodabra propose des ateliers de création numérique pour les enfants et adolescents de 4 à 15 ans. Durant les vacances scolaires ou pour des ateliers hebdomadaires, les Jeunes utilise le numérique comme un outil pour créer des robots, sites web, jeux vidéo, etc.</t>
  </si>
  <si>
    <t>77 rue Lecocq</t>
  </si>
  <si>
    <t>Rue Lecocq</t>
  </si>
  <si>
    <t>44.8342970402626</t>
  </si>
  <si>
    <t>-0.586211937760128</t>
  </si>
  <si>
    <t>Selon programme d’ateliers.</t>
  </si>
  <si>
    <t>contact@abracodabra.fr</t>
  </si>
  <si>
    <t>http://www.abracodabra.fr/</t>
  </si>
  <si>
    <t>https://www.facebook.com/abracodabrabx/</t>
  </si>
  <si>
    <t>Jeunes,Personnes en situation de handicap</t>
  </si>
  <si>
    <t>TABLETTE/Basique,ORDI/Basique,INTERNET/Basique,MAILS/Non,CV/Non,DIFFCV/Non,ORGRECHEMPLOI/Non,EMPLOISTORE/Non,DECLAPE/Non,IMPOTS/Non,DROITSSOCIAUXRSACAF/Non,RETRAITE/Non,CPAM/Non,FACTURES/Non,ETATCIVIL/Non,PERMIS/Non,PHOTO/Expert,IMPTROISD/Expert,PAO/Non,SITEWEB/Expert,CODE/Expert,MOOC/Non</t>
  </si>
  <si>
    <t>44.8342970403, -0.58621193776</t>
  </si>
  <si>
    <t>34</t>
  </si>
  <si>
    <t>Bibliothèque Capucins / St Michel</t>
  </si>
  <si>
    <t>Au cœur du quartier St Michel, quartier de palabres et de saveurs, la bibliothèque met à l'honneur le théâtre et la poésie. Face au marché des Capucins, la bibliothèque vous accueille pour un temps de lecture, de rêverie... ou une simple pause, pour consulter la presse ou internet.</t>
  </si>
  <si>
    <t>10-12 place des Capucins</t>
  </si>
  <si>
    <t>Place des Capucins</t>
  </si>
  <si>
    <t>44.8308018716672</t>
  </si>
  <si>
    <t>-0.567016016608649</t>
  </si>
  <si>
    <t>Mardi : 10h-12h/14h-18h, Mercredi et Samedi : 10h-18h, Jeudi et Vendredi : 14h-18h.</t>
  </si>
  <si>
    <t>Tu 10:00-12:00,14:00-18:00; We,Sa 10:00-18:00; Th,Fr 14:00-18:00</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</si>
  <si>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Basique</t>
  </si>
  <si>
    <t>44.8308018717, -0.567016016609</t>
  </si>
  <si>
    <t>35</t>
  </si>
  <si>
    <t>Bibliothèque Flora Tristan</t>
  </si>
  <si>
    <t>10 fois plus grande que l’ancienne bibliothèque Son Tay, chaleureuse, équipée d’espaces multimédia, de jeux vidéo et d'une grande salle d'animation, elle propose des services numériques innovants et des collections variées pour tous.</t>
  </si>
  <si>
    <t>1 place d'Armagnac</t>
  </si>
  <si>
    <t>Place d'Armagnac</t>
  </si>
  <si>
    <t>44.8212741540285</t>
  </si>
  <si>
    <t>-0.550768072761059</t>
  </si>
  <si>
    <t>TABLETTE/Maîtrise,ORDI/Maîtrise,INTERNET/Maîtrise,MAILS/Maîtrise,CV/Basique,DIFFCV/Basique,ORGRECHEMPLOI/Basique,EMPLOISTORE/Basique,DECLAPE/Basique,IMPOTS/Basique,DROITSSOCIAUXRSACAF/Basique,RETRAITE/Basique,CPAM/Basique,FACTURES/Basique,ETATCIVIL/Basique,PERMIS/Basique,PHOTO/Maîtrise,IMPTROISD/Non,PAO/Maîtrise,SITEWEB/Basique,CODE/Basique,MOOC/Maîtrise</t>
  </si>
  <si>
    <t>44.821274154, -0.550768072761</t>
  </si>
  <si>
    <t>44</t>
  </si>
  <si>
    <t>Bibliothèque Pierre Veilletet</t>
  </si>
  <si>
    <t>La bibliothèque Pierre Veilletet du quartier Caudéran a ouvert le 8 juin 2019. Elle est située sur la place Eugène Gauthier, dans un pôle regroupant un ensemble scolaire, un complexe sportif, une piscine, un skatepark, des commerces de proximité et le marché hebdomadaire. Elle a pour objectif d’être un lieu de rencontres et d’échanges accessible, convivial et confortable pour les habitants du quartier.</t>
  </si>
  <si>
    <t>21 rue Domion</t>
  </si>
  <si>
    <t>Rue Domion</t>
  </si>
  <si>
    <t>44.8576510865659</t>
  </si>
  <si>
    <t>-0.623685335493888</t>
  </si>
  <si>
    <t>Mardi et Vendredi : 10h-12h/14h-18h, Mercredi et Samedi : 10h-18h.</t>
  </si>
  <si>
    <t>Tu,Fr 10:00-12:00,14:00-18:00; We,Sa 10:00-18:00</t>
  </si>
  <si>
    <t>TABLETTE/Expert,ORDI/Expert,INTERNET/Expert,MAILS/Expert,CV/Basique,DIFFCV/Basique,ORGRECHEMPLOI/Basique,EMPLOISTORE/Basique,DECLAPE/Basique,IMPOTS/Basique,DROITSSOCIAUXRSACAF/Basique,RETRAITE/Basique,CPAM/Basique,FACTURES/Basique,ETATCIVIL/Basique,PERMIS/Basique,PHOTO/Maîtrise,IMPTROISD/Basique,PAO/Maîtrise,SITEWEB/Basique,CODE/Basique,MOOC/Maîtrise</t>
  </si>
  <si>
    <t>44.8576510866, -0.623685335494</t>
  </si>
  <si>
    <t>51</t>
  </si>
  <si>
    <t>Ligue de l'enseignement – Fédération de la Gironde</t>
  </si>
  <si>
    <t>La Ligue de l’enseignement réunit des femmes et des hommes qui agissent au quotidien pour mieux vivre ensemble, lutter contre les inégalités et pour faire vivre une démocratie plus effective. L’identité de la Ligue de l'Enseignement se fonde sur le triptyque : Démocratie - Laïcité   Education. Ces actions se déclinent en plusieurs formats : formations, animations, ateliers, évènementiels, festivals culturels, centre de ressources pour les associations affiliées, etc. Elles s adressent aussi bien aux enfants scolarisais qu’à tous les publics défavorisés, fragilisés ou discriminés, des jeunes aux Seniors.</t>
  </si>
  <si>
    <t>château BétailheBètailhe , 72 avenue de l'Eglise romane</t>
  </si>
  <si>
    <t>Avenue de l'Eglise Romane</t>
  </si>
  <si>
    <t>Artigues-près-Bordeaux</t>
  </si>
  <si>
    <t>44.8587549498054</t>
  </si>
  <si>
    <t>-0.497308676329456</t>
  </si>
  <si>
    <t>Du Lundi au Vendredi : 9h-12h/13h30-17h.</t>
  </si>
  <si>
    <t>contact@laligue33.org</t>
  </si>
  <si>
    <t>https://www.facebook.com/liguedelenseignement.gironde/</t>
  </si>
  <si>
    <t>Mo-Fr 09:00-12:00,13:30-17:00</t>
  </si>
  <si>
    <t>Jeunes,Personnes en situation de handicap,Séniors</t>
  </si>
  <si>
    <t>TABLETTE/Expert,ORDI/Expert,INTERNET/Expert,MAILS/Expert,CV/Non,DIFFCV/Non,ORGRECHEMPLOI/Non,EMPLOISTORE/Non,DECLAPE/Non,IMPOTS/Expert,DROITSSOCIAUXRSACAF/Expert,RETRAITE/Maîtrise,CPAM/Expert,FACTURES/Expert,ETATCIVIL/Expert,PERMIS/Expert,PHOTO/Maîtrise,IMPTROISD/Non,PAO/Expert,SITEWEB/Maîtrise,CODE/Maîtrise,MOOC/Expert</t>
  </si>
  <si>
    <t>44.8587549498, -0.497308676329</t>
  </si>
  <si>
    <t>53</t>
  </si>
  <si>
    <t>CCAS Carbon-Blanc</t>
  </si>
  <si>
    <t>Commune (Ville, CCAS, Centre Culturel…)</t>
  </si>
  <si>
    <t>Le CCAS participe au développement d'une offre cohérente, coordonnée et complémentaire d'accompagnement au numérique. sur le territoire de Carbon-Blanc. Porté par le Pôle insertion du CCAS, il permet de répondre à la mission initiale de l’établissement qui est de favoriser l’intégration des populations les plus fragiles.</t>
  </si>
  <si>
    <t>Maison pour tous Parc Favols</t>
  </si>
  <si>
    <t>Carbon-Blanc</t>
  </si>
  <si>
    <t>Lundi: 8h30-12h/13h30-18h. Mardi, Mercredi, Jeudi: 8h30-12h/13h30-17h. Vendredi: 8h30-12h/13h30-16h.</t>
  </si>
  <si>
    <t>an.garnier@carbon-blanc.fr</t>
  </si>
  <si>
    <t>https://www.carbon-blanc.fr/a-tout-age/solidarites/le-centre-communal-daction-sociale-2.html</t>
  </si>
  <si>
    <t>Mo 08:30-12:00,13:30-18:00; Tu-Th 08:30-12:00,13:30-17:00; Fr 08:30-12:00,13:30-16:00</t>
  </si>
  <si>
    <t>Allocataires,Etrangers,Jeunes,Personnes en situation de handicap,Séniors</t>
  </si>
  <si>
    <t>TABLETTE/Maîtrise,ORDI/Basique,INTERNET/Maîtrise,MAILS/Maîtrise,CV/Basique,DIFFCV/Basique,ORGRECHEMPLOI/Basique,EMPLOISTORE/Basique,DECLAPE/Maîtrise,IMPOTS/Basique,DROITSSOCIAUXRSACAF/Maîtrise,RETRAITE/Basique,CPAM/Maîtrise,FACTURES/Maîtrise,ETATCIVIL/Maîtrise,PERMIS/Maîtrise,PHOTO/Non,IMPTROISD/Non,PAO/Non,SITEWEB/Non,CODE/Non,MOOC/Non</t>
  </si>
  <si>
    <t>56</t>
  </si>
  <si>
    <t>Le Pixel Relai numérique de Cenon</t>
  </si>
  <si>
    <t>Mairie de Cenon</t>
  </si>
  <si>
    <t>Le Pixel est un espace numérique ouvert à tous les publics souhaitant découvrir et s’initier aux outils multimédia. C'est un lieu d’échanges de savoirs et de communication. Le lieu propose en accès libre des ordinateurs et autres équipements (connexion internet, logiciel, scanner). Vous pouvez aussi perfectionner vos connaissances en participant à des ateliers sur des thématiques diverses (Bureautique Internet, Réseaux Sociaux, Photo ). Une équipe de médiateurs numériques vous accompagne lors de vos différentes démarches administratives.</t>
  </si>
  <si>
    <t>Maison des Associations 11 rue du 8 Mai 1945</t>
  </si>
  <si>
    <t>Rue du 8 Mai 1945</t>
  </si>
  <si>
    <t>Cenon</t>
  </si>
  <si>
    <t>Maison des Associations</t>
  </si>
  <si>
    <t>44.8521127117729</t>
  </si>
  <si>
    <t>-0.513358806912427</t>
  </si>
  <si>
    <t>Mardi, Mercredi, Vendredi : 10h30-12h30/14h-17h30. Jeudi : 14h-17h30. Samedi :10h30-13h.</t>
  </si>
  <si>
    <t>lepixel@ville-cenon.fr</t>
  </si>
  <si>
    <t>https://pixel.cenon.fr/</t>
  </si>
  <si>
    <t>http://facebook.com/lepixelrelaisnumerique</t>
  </si>
  <si>
    <t>Tu-Fr 10:30-12:30,14:00-17:30; Th 14:00-17:30; Sa 10:30-13:00</t>
  </si>
  <si>
    <t>TABLETTE/Maîtrise,ORDI/Expert,INTERNET/Expert,MAILS/Expert,CV/Basique,DIFFCV/Expert,ORGRECHEMPLOI/Maîtrise,EMPLOISTORE/Maîtrise,DECLAPE/Expert,IMPOTS/Expert,DROITSSOCIAUXRSACAF/Maîtrise,RETRAITE/Maîtrise,CPAM/Maîtrise,FACTURES/Maîtrise,ETATCIVIL/Expert,PERMIS/Expert,PHOTO/Maîtrise,IMPTROISD/Non,PAO/Maîtrise,SITEWEB/Maîtrise,CODE/Maîtrise,MOOC/Basique</t>
  </si>
  <si>
    <t>44.8521127118, -0.513358806912</t>
  </si>
  <si>
    <t>65</t>
  </si>
  <si>
    <t>Centre d'animation Bois Fleuri</t>
  </si>
  <si>
    <t>Le centre d'animation est une structure de proximitè pour tous à vocation sociale, familial et culturel. Un accompagnement aux démarches administratives, logement, emploi, CAF, est assurè afin de répondre au mieux aux demandes des usagers.</t>
  </si>
  <si>
    <t>5 Rue des Arts</t>
  </si>
  <si>
    <t>Rue des Arts</t>
  </si>
  <si>
    <t>Lormont</t>
  </si>
  <si>
    <t>44.8756415415234</t>
  </si>
  <si>
    <t>-0.520124802867933</t>
  </si>
  <si>
    <t>Mardi, Jeudi, Vendredi : 10h-12h.</t>
  </si>
  <si>
    <t>bois.fleuri.cgcvl@gmail.com</t>
  </si>
  <si>
    <t>https://www.facebook.com/CGCVL/</t>
  </si>
  <si>
    <t>Tu-Fr 10:00-12:00; We off</t>
  </si>
  <si>
    <t>Allocataires,Demandeurs d'emploi,Jeunes,Séniors</t>
  </si>
  <si>
    <t>Gratuit,Adhérent,Payant</t>
  </si>
  <si>
    <t>TABLETTE/Maîtrise,ORDI/Basique,INTERNET/Basique,MAILS/Basique,CV/Maîtrise,DIFFCV/Maîtrise,ORGRECHEMPLOI/Basique,EMPLOISTORE/Basique,DECLAPE/Basique,IMPOTS/Basique,DROITSSOCIAUXRSACAF/Basique,RETRAITE/Basique,CPAM/Basique,FACTURES/Basique,ETATCIVIL/Basique,PERMIS/Basique,PHOTO/Non,IMPTROISD/Non,PAO/Non,SITEWEB/Non,CODE/Non,MOOC/Non</t>
  </si>
  <si>
    <t>44.8756415415, -0.520124802868</t>
  </si>
  <si>
    <t>66</t>
  </si>
  <si>
    <t>CLAP Sud-Ouest</t>
  </si>
  <si>
    <t>Dans sa partie DPLAI (Dispositif Permanent de Lutte de l’Analphabètisme et l’Illettrisme), le CLAP Sud Ouest association d’èvaluation linguistique de la langue française, d’accompagnement et de suivi, propose l’action SILE (Soutien Informatique Liè à l’Emploi).</t>
  </si>
  <si>
    <t>1 bis, rue des Arts</t>
  </si>
  <si>
    <t>1bis</t>
  </si>
  <si>
    <t>44.875605745008</t>
  </si>
  <si>
    <t>-0.519866584630024</t>
  </si>
  <si>
    <t>Du Lundi au Vendredi : 9h-12h/14h-17h.</t>
  </si>
  <si>
    <t>dplaird@clap-so.org</t>
  </si>
  <si>
    <t>http://www.clap-so.org/les-secteurs/dplai/</t>
  </si>
  <si>
    <t>Mo-Fr 09:00-12:00,14:00-17:00</t>
  </si>
  <si>
    <t>Demandeurs d'emploi,Etrangers,Jeunes,Personnes en situation de handicap</t>
  </si>
  <si>
    <t>TABLETTE/Maîtrise,ORDI/Maîtrise,INTERNET/Maîtrise,MAILS/Expert,CV/Expert,DIFFCV/Expert,ORGRECHEMPLOI/Expert,EMPLOISTORE/Maîtrise,DECLAPE/Expert,IMPOTS/Non,DROITSSOCIAUXRSACAF/Non,RETRAITE/Non,CPAM/Non,FACTURES/Non,ETATCIVIL/Non,PERMIS/Non,PHOTO/Non,IMPTROISD/Non,PAO/Non,SITEWEB/Non,CODE/Non,MOOC/Basique</t>
  </si>
  <si>
    <t>44.875605745, -0.51986658463</t>
  </si>
  <si>
    <t>71</t>
  </si>
  <si>
    <t>Alter Egaux</t>
  </si>
  <si>
    <t>Créée au printemps 2018, Alter Egaux est une micro-entreprise qui propose des services très diversifiés d'accompagnement administratif numérique et juridique aux particuliers, associations et petites entreprises.</t>
  </si>
  <si>
    <t>12 rue du Marechal Joffre</t>
  </si>
  <si>
    <t>Rue du Maréchal Joffre</t>
  </si>
  <si>
    <t>Bègles</t>
  </si>
  <si>
    <t>44.8065018752672</t>
  </si>
  <si>
    <t>-0.549419830942252</t>
  </si>
  <si>
    <t>Du Lundi au Vendredi : 9h45-13h/14h30-19h30. Sur rendez-vous le Samedi matin.</t>
  </si>
  <si>
    <t>cyrille.alteregaux@orange.fr</t>
  </si>
  <si>
    <t>https://www.alteregaux33.fr/</t>
  </si>
  <si>
    <t>Mo-Fr 09:45-13:00,14:30-19:30</t>
  </si>
  <si>
    <t>TABLETTE/Maîtrise,ORDI/Expert,INTERNET/Expert,MAILS/Expert,CV/Maîtrise,DIFFCV/Expert,ORGRECHEMPLOI/Basique,EMPLOISTORE/Basique,DECLAPE/Expert,IMPOTS/Expert,DROITSSOCIAUXRSACAF/Expert,RETRAITE/Expert,CPAM/Expert,FACTURES/Expert,ETATCIVIL/Expert,PERMIS/Expert,PHOTO/Basique,IMPTROISD/Non,PAO/Maîtrise,SITEWEB/Non,CODE/Non,MOOC/Non</t>
  </si>
  <si>
    <t>44.8065018753, -0.549419830942</t>
  </si>
  <si>
    <t>73</t>
  </si>
  <si>
    <t>Bureau Information Jeunesse de Bègles</t>
  </si>
  <si>
    <t>Relais du CRIJNA, c'est un lieu d'accueil, d'information, d'accompagnement des jeunes béglais concernant la découverte des métiers, l’orientation, l'emploi, le logement, la santé, la culture, la vie quotidienne.</t>
  </si>
  <si>
    <t>21 rue Calixte Camelle</t>
  </si>
  <si>
    <t>Rue Calixte Camelle</t>
  </si>
  <si>
    <t>44.8076435408269</t>
  </si>
  <si>
    <t>-0.547586500721045</t>
  </si>
  <si>
    <t>Hors vacances solaires : Lundi et Vendredi  :14h-17h. Mercredi : 10h-12h/14h-18h. Pendant les vacances scolaires : Lundi, Mardi, Vendredi : 14h-17. Mercredi :10h-12h/14h-17h.</t>
  </si>
  <si>
    <t>bij@mairie-begles.fr</t>
  </si>
  <si>
    <t>Mo,Fr 10:00,14:00-17:00; Tu-Th,Sa,Su 10:00; We 10:00-12:00,14:00-18:00; SH Mo-Fr 14:00-17:00; SH We 10:00-12:00,14:00-17:00; SH Th,Sa,Su off</t>
  </si>
  <si>
    <t>TABLETTE/Maîtrise,ORDI/Maîtrise,INTERNET/Maîtrise,MAILS/Expert,CV/Expert,DIFFCV/Expert,ORGRECHEMPLOI/Maîtrise,EMPLOISTORE/Basique,DECLAPE/Maîtrise,IMPOTS/Maîtrise,DROITSSOCIAUXRSACAF/Maîtrise,RETRAITE/Non,CPAM/Maîtrise,FACTURES/Maîtrise,ETATCIVIL/Maîtrise,PERMIS/Maîtrise,PHOTO/Basique,IMPTROISD/Non,PAO/Basique,SITEWEB/Non,CODE/Non,MOOC/Maîtrise</t>
  </si>
  <si>
    <t>44.8076435408, -0.547586500721</t>
  </si>
  <si>
    <t>74</t>
  </si>
  <si>
    <t>FabLab BEN (BORDEAUX ECOLE NUMÉRIQUE)</t>
  </si>
  <si>
    <t>Nous sommes un atelier de fabrication numérique, ouvert à toutes et tous, qui permet de prototyper, créer ou produire, dans le respect des personnes et de l’environnement. Nous cherchons à favoriser l’acquisition, la transmission et la production des savoirs et des compétences par l’expérimentation, le faire soi-même, l’échange de pairs à pairs et la pratique collective. Nous souhaitons participer, à l’apprentissage du numérique et des ces nouveaux usages vis-à-vis de nos jeunes et de nos pères, mais aussi à la lutte contre la fracture sociale et l’e-exclusion due aux inégalités d’accès au monde numérique.</t>
  </si>
  <si>
    <t>09 Av du Prof BERGONIE</t>
  </si>
  <si>
    <t>Avenue du Professeur Bergonie</t>
  </si>
  <si>
    <t>44.8028048793341</t>
  </si>
  <si>
    <t>-0.546547422017029</t>
  </si>
  <si>
    <t>10h-12h 14h-18h du Mardi ou Samedi, avec les soirées Découverte de 18h à 20h30.</t>
  </si>
  <si>
    <t>bonjour@bordeaux-ecole-numerique.fr</t>
  </si>
  <si>
    <t>http://www.bordeaux-ecole-numerique.fr/</t>
  </si>
  <si>
    <t>10h-12h 14h-18h du Mardi au Samedi, avec les soirées Découverte de 18h à 20h30.</t>
  </si>
  <si>
    <t>Tu-Sa 10:00-12:00,14:00-18:00</t>
  </si>
  <si>
    <t>TABLETTE/Maîtrise,ORDI/Expert,INTERNET/Expert,MAILS/Expert,CV/Maîtrise,DIFFCV/Maîtrise,ORGRECHEMPLOI/Maîtrise,EMPLOISTORE/Basique,DECLAPE/Basique,IMPOTS/Basique,DROITSSOCIAUXRSACAF/Basique,RETRAITE/Basique,CPAM/Basique,FACTURES/Basique,ETATCIVIL/Non,PERMIS/Non,PHOTO/Basique,IMPTROISD/Expert,PAO/Expert,SITEWEB/Maîtrise,CODE/Basique,MOOC/Expert</t>
  </si>
  <si>
    <t>44.8028048793, -0.546547422017</t>
  </si>
  <si>
    <t>76</t>
  </si>
  <si>
    <t>Fablab Cohabit</t>
  </si>
  <si>
    <t>Le fablab Coh@bit (contraction de l'anglais Fabrication Laboratory, « laboratoire de fabrication ») est un lieu ouvert au public et dédié à la création et à la production numériques. Il est équipé de machines et d'outils de prototypage. Des projets variés s'y développent : ruches connectées, machines-outils, robots agricoles, réalité augmentée, loisir créatif ... Vous serez toujours les bienvenus au Fablab ! Dans l’univers de l’open source et du Do It Yourself, les projets appartiennent à ceux qui les font vivre !</t>
  </si>
  <si>
    <t>IUT de Bordeaux 15 rue Naudet, bât 10a</t>
  </si>
  <si>
    <t>Rue Naudet</t>
  </si>
  <si>
    <t>Gradignan</t>
  </si>
  <si>
    <t>IUT de Bordeaux, Bât 10a</t>
  </si>
  <si>
    <t>44.7889887374992</t>
  </si>
  <si>
    <t>-0.612368967969213</t>
  </si>
  <si>
    <t>Du Lundi au Vendredi de 10h à 18h.</t>
  </si>
  <si>
    <t>fablab@iut.u-bordeaux.fr</t>
  </si>
  <si>
    <t>https://www.iut.u-bordeaux.fr/cohabit/</t>
  </si>
  <si>
    <t>https://www.facebook.com/Fablab-Cohabit-1713924472234837/</t>
  </si>
  <si>
    <t>Mo-Fr 10:00-18:00</t>
  </si>
  <si>
    <t>Allocataires,Demandeurs d'emploi,Jeunes,Personnes en situation de handicap,Séniors</t>
  </si>
  <si>
    <t>TABLETTE/Non,ORDI/Maîtrise,INTERNET/Expert,MAILS/Maîtrise,CV/Non,DIFFCV/Non,ORGRECHEMPLOI/Non,EMPLOISTORE/Non,DECLAPE/Non,IMPOTS/Non,DROITSSOCIAUXRSACAF/Non,RETRAITE/Non,CPAM/Non,FACTURES/Non,ETATCIVIL/Non,PERMIS/Non,PHOTO/Basique,IMPTROISD/Expert,PAO/Basique,SITEWEB/Basique,CODE/Basique,MOOC/Non</t>
  </si>
  <si>
    <t>44.7889887375, -0.612368967969</t>
  </si>
  <si>
    <t>78</t>
  </si>
  <si>
    <t>PLIE Portes du Sud</t>
  </si>
  <si>
    <t>Le PLIE Portes du Sud (Plan Local pour l’Insertion et l’Emploi) est un dispositif destiné à favoriser le retour à l’emploi durable ou l’accès à une formation qualifiante des personnes en situation d’exclusion professionnelle. Pour atteindre ses objectifs, le PLIE met en œuvre des parcours individualisés et renforcés et mobilise les partenaires et les entreprises de son territoire d’intervention (Talence, Gradignan et Villenave d'Ornon).</t>
  </si>
  <si>
    <t>7 avenue jean larrieu</t>
  </si>
  <si>
    <t>Avenue Jean Larrieu</t>
  </si>
  <si>
    <t>44.7736456578647</t>
  </si>
  <si>
    <t>-0.615701455140657</t>
  </si>
  <si>
    <t>Sur rendez-vous.</t>
  </si>
  <si>
    <t>plie.portesdusud@9business.fr</t>
  </si>
  <si>
    <t>http://www.plie-portesdusud.org</t>
  </si>
  <si>
    <t>TABLETTE/Basique,ORDI/Basique,INTERNET/Basique,MAILS/Basique,CV/Expert,DIFFCV/Expert,ORGRECHEMPLOI/Expert,EMPLOISTORE/Maîtrise,DECLAPE/Maîtrise,IMPOTS/Non,DROITSSOCIAUXRSACAF/Basique,RETRAITE/Non,CPAM/Non,FACTURES/Non,ETATCIVIL/Non,PERMIS/Non,PHOTO/Non,IMPTROISD/Non,PAO/Non,SITEWEB/Non,CODE/Non,MOOC/Basique</t>
  </si>
  <si>
    <t>44.7736456579, -0.615701455141</t>
  </si>
  <si>
    <t>80</t>
  </si>
  <si>
    <t>Bibliothèque Pablo Neruda</t>
  </si>
  <si>
    <t>Mairie de Pessac</t>
  </si>
  <si>
    <t>La Bibliothèque Pablo Neruda (quartier de Saige à Pessac) met à disposition des usagers 6 ordinateurs avec un accès internet gratuit et un accès WIFI. Un photocopieur-imprimante-scan est à disposition. Des ateliers individuels permettent un accompagnement personnalisé sur les usages du numérique. La médiathèque est référencée Espace Public Numérique.</t>
  </si>
  <si>
    <t>16 bis allée des mimosas</t>
  </si>
  <si>
    <t>16bis</t>
  </si>
  <si>
    <t>Allée des Mimosas</t>
  </si>
  <si>
    <t>Pessac</t>
  </si>
  <si>
    <t>44.7905690650944</t>
  </si>
  <si>
    <t>-0.631374521566855</t>
  </si>
  <si>
    <t>Mardi, Jeudi, Vendredi : 15h30-18h30. Mercredi : 10h-12h/14h-18h30. Samedi : 10h-12h/14h-17h.</t>
  </si>
  <si>
    <t>biblio.pabloneruda@mairie-pessac.fr</t>
  </si>
  <si>
    <t>http://mediatheque.mairie-pessac.fr/</t>
  </si>
  <si>
    <t>Tu-Fr 15:30-18:30; We 10:00-12:00,14:00-18:30; Sa 10:00-12:00,14:00-17:00</t>
  </si>
  <si>
    <t>TABLETTE/Maîtrise,ORDI/Maîtrise,INTERNET/Expert,MAILS/Expert,CV/Maîtrise,DIFFCV/Maîtrise,ORGRECHEMPLOI/Basique,EMPLOISTORE/Non,DECLAPE/Maîtrise,IMPOTS/Maîtrise,DROITSSOCIAUXRSACAF/Maîtrise,RETRAITE/Maîtrise,CPAM/Maîtrise,FACTURES/Maîtrise,ETATCIVIL/Maîtrise,PERMIS/Maîtrise,PHOTO/Maîtrise,IMPTROISD/Non,PAO/Maîtrise,SITEWEB/Maîtrise,CODE/Basique,MOOC/Maîtrise</t>
  </si>
  <si>
    <t>44.7905690651, -0.631374521567</t>
  </si>
  <si>
    <t>86</t>
  </si>
  <si>
    <t>Infos Jeunes Talence</t>
  </si>
  <si>
    <t>Mairie de Talence</t>
  </si>
  <si>
    <t>Au service municipal Infos Jeunes, il y en a pour tous les goûts ! Interlocuteur privilégié de la jeunesse talençaise, cet espace permet à chacun de bénéficier d’une aide adaptée à ses besoins et ses envies. C'est un lieu où ils peuvent venir poser toutes les questions qui les préoccupent, des animatrices sont là pour accueillir et aider à trouver les interlocuteurs adaptés à leurs recherches.</t>
  </si>
  <si>
    <t>17 avenue Espeléta</t>
  </si>
  <si>
    <t>Avenue Espeleta</t>
  </si>
  <si>
    <t>Talence</t>
  </si>
  <si>
    <t>44.8101291961431</t>
  </si>
  <si>
    <t>-0.58955777600575</t>
  </si>
  <si>
    <t>Lundi, Mardi, Jeudi, Vendredi : 13h-18h. Mercredi : 10h-18h.</t>
  </si>
  <si>
    <t>eij@talence.fr</t>
  </si>
  <si>
    <t>https://www.talence.fr/quotidien/jeunesse-vie-etudiante/service-jeunesse-esj/</t>
  </si>
  <si>
    <t>https://www.facebook.com/EIJTalence/</t>
  </si>
  <si>
    <t>Mo-Fr 13:00-18:00; We 10:00-18:00</t>
  </si>
  <si>
    <t>TABLETTE/Maîtrise,ORDI/Maîtrise,INTERNET/Maîtrise,MAILS/Expert,CV/Maîtrise,DIFFCV/Maîtrise,ORGRECHEMPLOI/Maîtrise,EMPLOISTORE/Maîtrise,DECLAPE/Expert,IMPOTS/Maîtrise,DROITSSOCIAUXRSACAF/Expert,RETRAITE/Basique,CPAM/Maîtrise,FACTURES/Expert,ETATCIVIL/Maîtrise,PERMIS/Maîtrise,PHOTO/Expert,IMPTROISD/Basique,PAO/Expert,SITEWEB/Basique,CODE/Non,MOOC/Maîtrise</t>
  </si>
  <si>
    <t>44.8101291961, -0.589557776006</t>
  </si>
  <si>
    <t>88</t>
  </si>
  <si>
    <t>Médiathèque de Thouars</t>
  </si>
  <si>
    <t>Ouverte à tous les inscrits du réseau des médiathèques de la ville (gratuit), la Cyber-base de Thouars met à votre disposition 3 ordinateurs équipés de casques audio, de webcams, et pourvus d’une connexion Internet haut débit, et vous propose de larges plages dédiées à la consultation libre. Un animateur est présent pour un accompagnement individualisé "réservez un animateur" sur rendez-vous les mardis de 16h à 18h30 et les vendredis de 15h30 à 17h.</t>
  </si>
  <si>
    <t>Le Dôme 221 avenue de Thouars</t>
  </si>
  <si>
    <t>Avenue de Thouars</t>
  </si>
  <si>
    <t>44.7921533785375</t>
  </si>
  <si>
    <t>-0.591619437817714</t>
  </si>
  <si>
    <t>Lundi, Mardi, Jeudi, Vendredi : 15h30-18h30. Mercredi : 10h-18h30.</t>
  </si>
  <si>
    <t>mediatheque@talence.fr</t>
  </si>
  <si>
    <t>https://portail.mediatheques.talence.fr</t>
  </si>
  <si>
    <t>Mo-Fr 15:30-18:30; We 10:00-18:30</t>
  </si>
  <si>
    <t>TABLETTE/Maîtrise,ORDI/Maîtrise,INTERNET/Maîtrise,MAILS/Maîtrise,CV/Basique,DIFFCV/Maîtrise,ORGRECHEMPLOI/Basique,EMPLOISTORE/Basique,DECLAPE/Maîtrise,IMPOTS/Basique,DROITSSOCIAUXRSACAF/Basique,RETRAITE/Basique,CPAM/Basique,FACTURES/Basique,ETATCIVIL/Basique,PERMIS/Basique,PHOTO/Maîtrise,IMPTROISD/Non,PAO/Maîtrise,SITEWEB/Maîtrise,CODE/Maîtrise,MOOC/Basique</t>
  </si>
  <si>
    <t>44.7921533785, -0.591619437818</t>
  </si>
  <si>
    <t>89</t>
  </si>
  <si>
    <t>Association Le Relais Talençais</t>
  </si>
  <si>
    <t>Notre association gère une épicerie solidaire et propose en parallèle un accompagnement social, des ateliers et des animations aux adhérents et aux familles bénéficiaires.</t>
  </si>
  <si>
    <t>25 rue du 19 Mars  Tour Chateaubriand, Appt 33</t>
  </si>
  <si>
    <t>Rue du 19 Mars 1962</t>
  </si>
  <si>
    <t>44.7966261639296</t>
  </si>
  <si>
    <t>-0.59542433449458</t>
  </si>
  <si>
    <t>Lundi et Jeudi : 14h-16h sur rendez-vous.</t>
  </si>
  <si>
    <t>le.relais.talencais@gmail.com</t>
  </si>
  <si>
    <t>http://le-relais-talencais.org/</t>
  </si>
  <si>
    <t>https://www.facebook.com/Lerelaistalencais</t>
  </si>
  <si>
    <t>Mo,Th 14:00-16:00</t>
  </si>
  <si>
    <t>TABLETTE/Basique,ORDI/Maîtrise,INTERNET/Maîtrise,MAILS/Maîtrise,CV/Maîtrise,DIFFCV/Maîtrise,ORGRECHEMPLOI/Maîtrise,EMPLOISTORE/Basique,DECLAPE/Maîtrise,IMPOTS/Non,DROITSSOCIAUXRSACAF/Non,RETRAITE/Basique,CPAM/Non,FACTURES/Basique,ETATCIVIL/Non,PERMIS/Non,PHOTO/Basique,IMPTROISD/Non,PAO/Basique,SITEWEB/Maîtrise,CODE/Non,MOOC/Maîtrise</t>
  </si>
  <si>
    <t>44.7966261639, -0.595424334495</t>
  </si>
  <si>
    <t>103</t>
  </si>
  <si>
    <t>Centre socioculturel Les Terrasses</t>
  </si>
  <si>
    <t>Association où coopèrent des habitants et des salariés autour d'un projet de développement social à Martignas. Elle diversifie ses "portes d'entrées" afin "d'aller vers" tous les publics. Elle accueille, accompagne les habitants pour construire des projets dans le respect des valeurs de son réseau: respect de la dignité humaine, solidarité, démocratie.</t>
  </si>
  <si>
    <t>14 Avenue de Verdun Cedex 15</t>
  </si>
  <si>
    <t>Avenue de Verdun</t>
  </si>
  <si>
    <t>Martignas-sur-Jalle</t>
  </si>
  <si>
    <t>44.8423719486755</t>
  </si>
  <si>
    <t>-0.779397321153063</t>
  </si>
  <si>
    <t>Lundi : 10h-12h30/14h-18h. Mardi, Jeudi : 9h30-12h30/14h-18h30. Mercredi : 14h-18h. Vendredi : 9h30-12h30/14h-17h.</t>
  </si>
  <si>
    <t>cscmartignas@gmail.com</t>
  </si>
  <si>
    <t>https://www.ville-martignas.fr/centre-socioculturel/</t>
  </si>
  <si>
    <t>Mo 10:00-12:30,14:00-18:00; Tu,Th 09:30-12:30,14:00-18:30; We 14:00-18:00; Fr 09:30-12:30,14:00-17:00</t>
  </si>
  <si>
    <t>TABLETTE/Basique,ORDI/Maîtrise,INTERNET/Maîtrise,MAILS/Maîtrise,CV/Basique,DIFFCV/Basique,ORGRECHEMPLOI/Basique,EMPLOISTORE/Non,DECLAPE/Basique,IMPOTS/Basique,DROITSSOCIAUXRSACAF/Maîtrise,RETRAITE/Basique,CPAM/Basique,FACTURES/Basique,ETATCIVIL/Basique,PERMIS/Basique,PHOTO/Basique,IMPTROISD/Non,PAO/Basique,SITEWEB/Non,CODE/Non,MOOC/Basique</t>
  </si>
  <si>
    <t>44.8423719487, -0.779397321153</t>
  </si>
  <si>
    <t>106</t>
  </si>
  <si>
    <t>Le Puzzle</t>
  </si>
  <si>
    <t>L'association LE PUZZLE est agréée centre social et culturel et multi-accueil. Située au sein du quartier Capeyron à Mérignac,les actions menées sont en direction de tous les publics. La référente famille CESF, est à même d'orienter le public sur les questions d'accès aux droits et de parentalité. L'équipe d'animation accueille les enfants de 3 à 17 ans sur des temps de loisirs et d'accompagnement à la scolarité. Nous hébergeons une bibliothèque dans les murs. Des ateliers de français pour étrangers sont dispensés à environ 200 personnes par an. De nombreuses activités de loisirs sont proposées également.</t>
  </si>
  <si>
    <t>Rue Jean Giono</t>
  </si>
  <si>
    <t>Mérignac</t>
  </si>
  <si>
    <t>44.8517186438456</t>
  </si>
  <si>
    <t>-0.649471556771519</t>
  </si>
  <si>
    <t>Lundi au Vendredi : 8h30-12h15/13h30-18h.</t>
  </si>
  <si>
    <t>puzzle.administratif@orange.fr</t>
  </si>
  <si>
    <t>https://puzzle-capeyron.fr/</t>
  </si>
  <si>
    <t>https://www.facebook.com/puzzlecapeyron/</t>
  </si>
  <si>
    <t>Mo-Fr 08:30-12:15,13:30-18:00</t>
  </si>
  <si>
    <t>TABLETTE/Basique,ORDI/Maîtrise,INTERNET/Maîtrise,MAILS/Expert,CV/Basique,DIFFCV/Basique,ORGRECHEMPLOI/Basique,EMPLOISTORE/Basique,DECLAPE/Maîtrise,IMPOTS/Maîtrise,DROITSSOCIAUXRSACAF/Maîtrise,RETRAITE/Maîtrise,CPAM/Maîtrise,FACTURES/Maîtrise,ETATCIVIL/Maîtrise,PERMIS/Maîtrise,PHOTO/Basique,IMPTROISD/Non,PAO/Basique,SITEWEB/Non,CODE/Non,MOOC/Basique</t>
  </si>
  <si>
    <t>44.8517186438, -0.649471556772</t>
  </si>
  <si>
    <t>113</t>
  </si>
  <si>
    <t>Association Socioculturelle de l'Ouest (ASCO)</t>
  </si>
  <si>
    <t>L'Association SocioCulturelle de l’Ouest (ASCO) est un lieu d'initiatives portées par les habitants et accompagnées par une équipe salariée / bénévoles. L’association est agréée centre social par la CAF depuis 2009. Cet agrément implique la mise en oeuvre d’un projet social portant sur l’animation sociale des quartiers Ouest, la participation active des habitants, une veille sociale auprès des publics fragilisés, une attention particulière pour les familles et la mise en place d’actions partenariales.</t>
  </si>
  <si>
    <t>104 avenue Anatole France</t>
  </si>
  <si>
    <t>Avenue Anatole France</t>
  </si>
  <si>
    <t>Saint-Médard-en-Jalles</t>
  </si>
  <si>
    <t>44.8939099455002</t>
  </si>
  <si>
    <t>-0.749362859460567</t>
  </si>
  <si>
    <t>Lundi au Vendredi : 14h à 18h.</t>
  </si>
  <si>
    <t>accueil.asco@gmail.com</t>
  </si>
  <si>
    <t>http://association-asco.com/</t>
  </si>
  <si>
    <t>https://www.facebook.com/ASCO-Association-Socio-Culturelle-de-lOuest-350004958881145</t>
  </si>
  <si>
    <t>Mo-Fr 14:00-18:00</t>
  </si>
  <si>
    <t>TABLETTE/Maîtrise,ORDI/Maîtrise,INTERNET/Maîtrise,MAILS/Maîtrise,CV/Basique,DIFFCV/Maîtrise,ORGRECHEMPLOI/Maîtrise,EMPLOISTORE/Non,DECLAPE/Maîtrise,IMPOTS/Maîtrise,DROITSSOCIAUXRSACAF/Maîtrise,RETRAITE/Basique,CPAM/Maîtrise,FACTURES/Maîtrise,ETATCIVIL/Maîtrise,PERMIS/Maîtrise,PHOTO/Basique,IMPTROISD/Non,PAO/Maîtrise,SITEWEB/Non,CODE/Non,MOOC/Basique</t>
  </si>
  <si>
    <t>44.8939099455, -0.749362859461</t>
  </si>
  <si>
    <t>121</t>
  </si>
  <si>
    <t>Atelier Remuménage</t>
  </si>
  <si>
    <t>L'Atelier Remuménage est une association girondine, basée dans le quartier Saint-Michel/Capucins, qui propose des services de déménagement et transport, solidaires et écologiques. Acteur depuis 20 ans dans l'Economie Sociale et Solidaire, l'association est en partenariat avec les acteurs sociaux du territoire. L'association est également reconnu Atelier Chantier d'Insertion depuis 2015. Elle accompagne 26 personnes éloignées de l'emploi dans leurs parcours socioprofessionnels.Depuis 2019, elle participe au programme Quartiers numériques, et propose des ateliers pour les personnes qui en ont besoin.</t>
  </si>
  <si>
    <t>5 cours de l'Yser</t>
  </si>
  <si>
    <t>cours de l'Yser</t>
  </si>
  <si>
    <t>44.8296189183359</t>
  </si>
  <si>
    <t>-0.568234732775661</t>
  </si>
  <si>
    <t>Du Lundi au Vendredi : 09h-12h30/.13h30-18h.</t>
  </si>
  <si>
    <t>contact@atelier-remumenage.org</t>
  </si>
  <si>
    <t>http://atelier-remumenage.org/</t>
  </si>
  <si>
    <t>https://www.facebook.com/AtelierRemumenage/</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</si>
  <si>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Non,IMPTROISD/Non,PAO/Non,SITEWEB/Non,CODE/Non,MOOC/Non</t>
  </si>
  <si>
    <t>44.8296189183, -0.568234732776</t>
  </si>
  <si>
    <t>123</t>
  </si>
  <si>
    <t>Centre d'animation Bacalan</t>
  </si>
  <si>
    <t>Le centre d’animation Bacalan fait partie de l’association Centres d’animation de Bordeaux, association républicaine d’animation socioculturelle, loi 1901. À ce titre, son action se fonde sur un ensemble de valeurs et de principes et est guidée par ses textes fondateurs dont ses statuts et son projet associatif. Agréée jeunesse et éducation populaire et agréé Centre Social, le centre œuvre avec toutes et tous afin de contribuer à l’émancipation des personnes qu’elle accueille en promouvant une éducation tout au long de la vie et l’égale reconnaissance des savoirs, savoir-faire et savoir-être.</t>
  </si>
  <si>
    <t>139 rue Joseph Brunet</t>
  </si>
  <si>
    <t>Rue Joseph Brunet</t>
  </si>
  <si>
    <t>44.8795887016774</t>
  </si>
  <si>
    <t>-0.543182251350188</t>
  </si>
  <si>
    <t>Mardi et Vendredi : 14h-18h Mercredi  : 9h-13h/14h-18h30 Jeudi : 9h-13h/15h-19h30</t>
  </si>
  <si>
    <t>bacalan@cabordeaux.fr</t>
  </si>
  <si>
    <t>https://centresanimationbordeaux.fr/bacalan</t>
  </si>
  <si>
    <t>https://www.facebook.com/centresanimationbordeaux/</t>
  </si>
  <si>
    <t>Tu,Fr 14:00-18:00; We 09:00-13:00,14:00-18:30; Th 09:00-13:00,15:00-19:30</t>
  </si>
  <si>
    <t>TABLETTE/,ORDI/Maîtrise,INTERNET/Maîtrise,MAILS/Maîtrise,CV/Maîtrise,DIFFCV/Maîtrise,ORGRECHEMPLOI/Maîtrise,EMPLOISTORE/Basique,DECLAPE/Expert,IMPOTS/Maîtrise,DROITSSOCIAUXRSACAF/Expert,RETRAITE/Maîtrise,CPAM/Expert,FACTURES/Maîtrise,ETATCIVIL/Maîtrise,PERMIS/Maîtrise,PHOTO/Non,IMPTROISD/Non,PAO/Non,SITEWEB/Non,CODE/Non,MOOC/Non</t>
  </si>
  <si>
    <t>Point relais CAF</t>
  </si>
  <si>
    <t>44.8795887017, -0.54318225135</t>
  </si>
  <si>
    <t>128</t>
  </si>
  <si>
    <t>Maison des femmes de Bordeaux</t>
  </si>
  <si>
    <t>Deux ordinateurs sont mis à disposition des femmes. Isabelle, chargée de l'insertion à la Maison des Femmes, vous accompagne dans vos démarches administratives.</t>
  </si>
  <si>
    <t>27 cours Alsace Lorraine</t>
  </si>
  <si>
    <t>Cours Alsace Lorraine</t>
  </si>
  <si>
    <t>44.8379529077461</t>
  </si>
  <si>
    <t>-0.569515586992977</t>
  </si>
  <si>
    <t>Lundi au Vendredi : 14h-18h.</t>
  </si>
  <si>
    <t>maison.des.femmes@wanadoo.fr</t>
  </si>
  <si>
    <t>http://maisondesfemmes.net</t>
  </si>
  <si>
    <t>TABLETTE/Basique,ORDI/Maîtrise,INTERNET/Expert,MAILS/Expert,CV/Maîtrise,DIFFCV/Expert,ORGRECHEMPLOI/Maîtrise,EMPLOISTORE/Basique,DECLAPE/Maîtrise,IMPOTS/Maîtrise,DROITSSOCIAUXRSACAF/Maîtrise,RETRAITE/Non,CPAM/Maîtrise,FACTURES/Maîtrise,ETATCIVIL/Maîtrise,PERMIS/Basique,PHOTO/Non,IMPTROISD/Non,PAO/Non,SITEWEB/Non,CODE/Non,MOOC/Non</t>
  </si>
  <si>
    <t>44.8379529077, -0.569515586993</t>
  </si>
  <si>
    <t>1</t>
  </si>
  <si>
    <t>Amicale Laïque de Bacalan</t>
  </si>
  <si>
    <t>Association issue de l'Education Populaire, ouverte à tous pour l'épanouissement de chacune et chacun. Evénements culturels, ateliers culturels et sportifs, périscolaire, médiation, accompagnement des publics, lieu d'accueil des habitants et des associations.</t>
  </si>
  <si>
    <t>5 rue Joseph Brunet</t>
  </si>
  <si>
    <t>44.8740305391211</t>
  </si>
  <si>
    <t>-0.546146638400272</t>
  </si>
  <si>
    <t>Lundi : 15h-21h, Mardi Mercredi Jeudi Vendredi : 14h-21h.</t>
  </si>
  <si>
    <t>amicalebacalan@free.fr</t>
  </si>
  <si>
    <t>http://amicalebacalan.com/</t>
  </si>
  <si>
    <t>Mo 15:00-21:00; Tu-Fr 14:00-21:00</t>
  </si>
  <si>
    <t>TABLETTE/Non,ORDI/Expert,INTERNET/Maîtrise,MAILS/Expert,CV/Maîtrise,DIFFCV/Maîtrise,ORGRECHEMPLOI/Maîtrise,EMPLOISTORE/Basique,DECLAPE/Expert,IMPOTS/Expert,DROITSSOCIAUXRSACAF/Expert,RETRAITE/Expert,CPAM/Expert,FACTURES/Expert,ETATCIVIL/Basique,PERMIS/Basique,PHOTO/Maîtrise,IMPTROISD/Non,PAO/Basique,SITEWEB/Maîtrise,CODE/Basique,MOOC/Basique</t>
  </si>
  <si>
    <t>44.8740305391, -0.5461466384</t>
  </si>
  <si>
    <t>2</t>
  </si>
  <si>
    <t>Bibliothèque Bacalan</t>
  </si>
  <si>
    <t>Bien amarrée au territoire de Bordeaux Maritime, la bibliothèque Bacalan vous attend en famille, autour de rencontres, d'expositions ou d'ateliers... Demandez le programme ! Pour lire, travailler, vous informer ou vous détendre, la bibliothèque met à votre disposition 4 postes Internet et plus de 20 places assises.</t>
  </si>
  <si>
    <t>196 rue Achard</t>
  </si>
  <si>
    <t>44.873133961464</t>
  </si>
  <si>
    <t>-0.546282394370516</t>
  </si>
  <si>
    <t>TABLETTE/Basique,ORDI/Basique,INTERNET/Basique,MAILS/Expert,CV/Basique,DIFFCV/Basique,ORGRECHEMPLOI/Non,EMPLOISTORE/Non,DECLAPE/Basique,IMPOTS/Basique,DROITSSOCIAUXRSACAF/Basique,RETRAITE/Basique,CPAM/Basique,FACTURES/Basique,ETATCIVIL/Basique,PERMIS/Basique,PHOTO/Basique,IMPTROISD/Non,PAO/Basique,SITEWEB/Non,CODE/Non,MOOC/Expert</t>
  </si>
  <si>
    <t>44.8731339615, -0.546282394371</t>
  </si>
  <si>
    <t>5</t>
  </si>
  <si>
    <t>Centre d'animation Bordeaux Lac</t>
  </si>
  <si>
    <t>Animation socioculturelle en direction des enfants et Jeunes de 3 à 17 ans et de leurs familles. (activités péri et extra scolaires + Sorties, séjours période scolaire et vacances + accompagnement à la scolarité) Accueil et accompagnement des familles : Accès aux droits (permanences sociales avec partenaires), sorties, séjours. Développement social local par animations de quartier et soutien aux initiatives locales.</t>
  </si>
  <si>
    <t>79 cours des Aubiers</t>
  </si>
  <si>
    <t>44.8725467917707</t>
  </si>
  <si>
    <t>-0.572518333173997</t>
  </si>
  <si>
    <t>Lundi, Mardi et Vendredi : 13h30-18h30, Mercredi : 9h-12h/13h30-18h30, Jeudi : 9h-12h/ 13h30-17h.</t>
  </si>
  <si>
    <t>ca.bordeauxlac@acaqb.fr</t>
  </si>
  <si>
    <t>https://centresanimationbordeaux.fr/bordeaux-lac/</t>
  </si>
  <si>
    <t>Mo-Fr 13:30-18:30; We 09:00-12:00,13:30-18:30; Th 09:00-12:00,13:30-17:00</t>
  </si>
  <si>
    <t>TABLETTE/Non,ORDI/Non,INTERNET/Maîtrise,MAILS/Basique,CV/Non,DIFFCV/Expert,ORGRECHEMPLOI/Expert,EMPLOISTORE/Expert,DECLAPE/Maîtrise,IMPOTS/Basique,DROITSSOCIAUXRSACAF/Basique,RETRAITE/Basique,CPAM/Basique,FACTURES/Basique,ETATCIVIL/Basique,PERMIS/Basique,PHOTO/Non,IMPTROISD/Non,PAO/Non,SITEWEB/Non,CODE/Non,MOOC/Non</t>
  </si>
  <si>
    <t>44.8725467918, -0.572518333174</t>
  </si>
  <si>
    <t>6</t>
  </si>
  <si>
    <t>Centre social et familial Bordeaux Nord</t>
  </si>
  <si>
    <t>Accueil des habitants du quartier pour participer à des activités de loisirs et de soutien scolaire pour les enfants des activités d'insertion sociale, professionnelle et de solidarité pour les adultes.</t>
  </si>
  <si>
    <t>58 rue Joséphine</t>
  </si>
  <si>
    <t>Rue Josephine</t>
  </si>
  <si>
    <t>44.8602284600313</t>
  </si>
  <si>
    <t>-0.562106192547505</t>
  </si>
  <si>
    <t>Du Lundi au Vendredi : 9h-12h30/14h-18h30.</t>
  </si>
  <si>
    <t>contact@csbn.org</t>
  </si>
  <si>
    <t>http://www.csbn.org/</t>
  </si>
  <si>
    <t>Mo-Fr 09:00-12:30,14:00-18:30</t>
  </si>
  <si>
    <t>TABLETTE/Expert,ORDI/Expert,INTERNET/Expert,MAILS/Expert,CV/Expert,DIFFCV/Expert,ORGRECHEMPLOI/Maîtrise,EMPLOISTORE/Maîtrise,DECLAPE/Expert,IMPOTS/Basique,DROITSSOCIAUXRSACAF/Expert,RETRAITE/Basique,CPAM/Expert,FACTURES/Maîtrise,ETATCIVIL/Basique,PERMIS/Basique,PHOTO/Basique,IMPTROISD/Non,PAO/Expert,SITEWEB/Non,CODE/Non,MOOC/Expert</t>
  </si>
  <si>
    <t>44.86022846, -0.562106192548</t>
  </si>
  <si>
    <t>11</t>
  </si>
  <si>
    <t>Bibliothèque Grand Parc</t>
  </si>
  <si>
    <t>Dans sa rotonde centrale, elle accueille les œuvres de nombreux artistes peintres et sculpteurs : vous y découvrirez chaque mois des expositions d’art contemporain. Située au cœur du quartier Grand Parc, en bordure de Caudéran, du Jardin Public et des Chartrons, la bibliothèque vous offre un équipement culturel dynamique.</t>
  </si>
  <si>
    <t>34 rue Pierre Trébod</t>
  </si>
  <si>
    <t>Rue Pierre</t>
  </si>
  <si>
    <t>44.839435124121</t>
  </si>
  <si>
    <t>-0.593256789357832</t>
  </si>
  <si>
    <t>Mardi : 10h-12h/14h-18h, Mercredi et Samedi : 10h-18h,Jeudi et Vendredi : 14h-18h.</t>
  </si>
  <si>
    <t>44.8394351241, -0.593256789358</t>
  </si>
  <si>
    <t>19</t>
  </si>
  <si>
    <t>CCAS de Bordeaux</t>
  </si>
  <si>
    <t>Le CCAS de Bordeaux (Centre Communal d'Action Sociale), établissement public, met en oeuvre les solidarités et organise l'aide sociale au profit des Bordelais. A ce titre il lutte contre les exclusions en accompagnant l'attribution de l'aide sociale légale, en dispensant une aide sociale facultative selon la politique d'action sociale de la commune. Coordonnant les acteurs du territoire il porte des actions innovantes pour lutter contre les précarités. Le CCAS de Bordeaux n'assure pas un accompagnement numérique mais a un soutien numérique aux usagers dans le cadre de la dématérialisation des procédures.</t>
  </si>
  <si>
    <t>4 rue Claude Bonnier</t>
  </si>
  <si>
    <t>Rue Claude Bonnier</t>
  </si>
  <si>
    <t>44.8382043106635</t>
  </si>
  <si>
    <t>-0.582316627110537</t>
  </si>
  <si>
    <t>Lundi au Vendredi : 8h30-18h.</t>
  </si>
  <si>
    <t>p.souchon@mairie-bordeaux.fr</t>
  </si>
  <si>
    <t>https://www.bordeaux.fr/p80983/le-centre-communal-d-action-sociale</t>
  </si>
  <si>
    <t>TABLETTE/Non,ORDI/Non,INTERNET/Non,MAILS/Basique,CV/Non,DIFFCV/Non,ORGRECHEMPLOI/Non,EMPLOISTORE/Non,DECLAPE/Basique,IMPOTS/Basique,DROITSSOCIAUXRSACAF/Basique,RETRAITE/Basique,CPAM/Non,FACTURES/Non,ETATCIVIL/Basique,PERMIS/Non,PHOTO/Non,IMPTROISD/Non,PAO/Non,SITEWEB/Non,CODE/Non,MOOC/Non</t>
  </si>
  <si>
    <t>44.8382043107, -0.582316627111</t>
  </si>
  <si>
    <t>22</t>
  </si>
  <si>
    <t>GEM Grain de Café</t>
  </si>
  <si>
    <t>Association qui a pour objet de soutenir et de promouvoir la participation sociale et la citoyenneté des personnes isolées et/ou en souffrance psychique.</t>
  </si>
  <si>
    <t>6 rue Ausone</t>
  </si>
  <si>
    <t>Rue Ausone</t>
  </si>
  <si>
    <t>44.8384732018026</t>
  </si>
  <si>
    <t>-0.568542188054494</t>
  </si>
  <si>
    <t>Lundi au Vendredi : 14h-17h.</t>
  </si>
  <si>
    <t>gemgraindecafe@gmail.com</t>
  </si>
  <si>
    <t>https://gem-grain-de-cafe.business.site/</t>
  </si>
  <si>
    <t>Mo-Fr 14:00-17:00</t>
  </si>
  <si>
    <t>TABLETTE/Basique,ORDI/Basique,INTERNET/Basique,MAILS/Basique,CV/Basique,DIFFCV/Non,ORGRECHEMPLOI/Non,EMPLOISTORE/Non,DECLAPE/Basique,IMPOTS/Basique,DROITSSOCIAUXRSACAF/Basique,RETRAITE/Non,CPAM/Basique,FACTURES/Basique,ETATCIVIL/Basique,PERMIS/Basique,PHOTO/Non,IMPTROISD/Non,PAO/Non,SITEWEB/Non,CODE/Non,MOOC/Non</t>
  </si>
  <si>
    <t>44.8384732018, -0.568542188054</t>
  </si>
  <si>
    <t>23</t>
  </si>
  <si>
    <t>La Ressourcerie</t>
  </si>
  <si>
    <t>Un lieu de vie au cœur de Bordeaux pour se ressourcer ensemble et prendre du temps pour soi. Conçue à l’origine pour les personnes accompagnant un proche, la Ressourcerie est ouverte à tous. Vous trouverez ici du répit, de l’entraide et de l’envie d’agir pour vous ressourcer.</t>
  </si>
  <si>
    <t>21 Cours du Chapeau Rouge</t>
  </si>
  <si>
    <t>Cours du Chapeau Rouge</t>
  </si>
  <si>
    <t>44.8424830956179</t>
  </si>
  <si>
    <t>-0.572462929593069</t>
  </si>
  <si>
    <t>Lundi : 14h-18h30, Mardi, Mercredi, Jeudi, Vendredi : 10h-18h.</t>
  </si>
  <si>
    <t>contact@la-ressourcerie.com</t>
  </si>
  <si>
    <t>https://www.la-ressourcerie.com/</t>
  </si>
  <si>
    <t>https://www.facebook.com/laressourceriebordeaux/</t>
  </si>
  <si>
    <t>Mo 14:00-18:30; Tu-Fr 10:00-18:00</t>
  </si>
  <si>
    <t>Jeunes,Séniors</t>
  </si>
  <si>
    <t>TABLETTE/Maîtrise,ORDI/Maîtrise,INTERNET/Maîtrise,MAILS/Maîtrise,CV/Basique,DIFFCV/Basique,ORGRECHEMPLOI/Non,EMPLOISTORE/Non,DECLAPE/Maîtrise,IMPOTS/Maîtrise,DROITSSOCIAUXRSACAF/Maîtrise,RETRAITE/Maîtrise,CPAM/Maîtrise,FACTURES/Maîtrise,ETATCIVIL/Maîtrise,PERMIS/Maîtrise,PHOTO/Non,IMPTROISD/Non,PAO/Non,SITEWEB/Non,CODE/Non,MOOC/Non</t>
  </si>
  <si>
    <t>44.8424830956, -0.572462929593</t>
  </si>
  <si>
    <t>27</t>
  </si>
  <si>
    <t>Pôle Emploi Gironde - Bordeaux Mériadeck</t>
  </si>
  <si>
    <t>1 Terrasse du Front du Médoc</t>
  </si>
  <si>
    <t>Terrasse Front du Médoc</t>
  </si>
  <si>
    <t>44.838066640169</t>
  </si>
  <si>
    <t>-0.588190718004337</t>
  </si>
  <si>
    <t>Réception sans rendez-vous les matin du Lundi au Vendredi de 8h30 à 12h30 et sur rendez-vous les après-midi sauf le Jeudi.</t>
  </si>
  <si>
    <t>44.8380666402, -0.588190718004</t>
  </si>
  <si>
    <t>33</t>
  </si>
  <si>
    <t>Groupement des Intellectuels Aveugles ou Amblyopes</t>
  </si>
  <si>
    <t>Le G.I.A.A Aquitaine a pour vocation l’aide aux personnes déficientes visuelles. Nos activités : soutien d’étudiants déficients visuels par la fourniture à la demande de documents numérisés accessibles, gestion d’une bibliothèque sonore (plus de 12 000 ouvrages audio (au format MP3), cours d’informatique adapté, cours de braille, soutien psychologique, aide aux démarches administratives et accompagnement vers l’emploi.</t>
  </si>
  <si>
    <t>14 rue de la Réole</t>
  </si>
  <si>
    <t>Rue de la Reole</t>
  </si>
  <si>
    <t>44.8222816066295</t>
  </si>
  <si>
    <t>-0.566530287678929</t>
  </si>
  <si>
    <t>Du Lundi au Jeudi : 9h-17h30.</t>
  </si>
  <si>
    <t>contact.aquitaine@giaa.org</t>
  </si>
  <si>
    <t>http://www.giaa-aquitaine.fr/</t>
  </si>
  <si>
    <t>https://www.facebook.com/GIAA.apiDv.Nouvelle.aquitaine</t>
  </si>
  <si>
    <t>Mo-Th 09:00-17:30</t>
  </si>
  <si>
    <t>TABLETTE/Maîtrise,ORDI/Expert,INTERNET/Expert,MAILS/Expert,CV/Expert,DIFFCV/Expert,ORGRECHEMPLOI/Expert,EMPLOISTORE/Non,DECLAPE/Maîtrise,IMPOTS/Basique,DROITSSOCIAUXRSACAF/Basique,RETRAITE/Basique,CPAM/Basique,FACTURES/Basique,ETATCIVIL/Basique,PERMIS/Basique,PHOTO/Non,IMPTROISD/Non,PAO/Basique,SITEWEB/Expert,CODE/Non,MOOC/Basique</t>
  </si>
  <si>
    <t>44.8222816066, -0.566530287679</t>
  </si>
  <si>
    <t>39</t>
  </si>
  <si>
    <t>Pôle Emploi Gironde - Bordeaux St Jean</t>
  </si>
  <si>
    <t>4 rue Bac Ninh</t>
  </si>
  <si>
    <t>Rue de Bac Ninh</t>
  </si>
  <si>
    <t>44.8271058055701</t>
  </si>
  <si>
    <t>-0.554196479441024</t>
  </si>
  <si>
    <t>44.8271058056, -0.554196479441</t>
  </si>
  <si>
    <t>42</t>
  </si>
  <si>
    <t>Pôle Emploi Gironde - Bordeaux Bastide</t>
  </si>
  <si>
    <t>4 rue René Buthaut</t>
  </si>
  <si>
    <t>Rue René Buthaut</t>
  </si>
  <si>
    <t>44.8380460348437</t>
  </si>
  <si>
    <t>-0.555132098171409</t>
  </si>
  <si>
    <t>44.8380460348, -0.555132098171</t>
  </si>
  <si>
    <t>43</t>
  </si>
  <si>
    <t>APF France handicap Délégation Gironde</t>
  </si>
  <si>
    <t>Association de défense des droits des personnes en situation de handicap. Des missions associatives et militantes au sein de la délégation de Gironde. 400 adhérents, 125 bénévoles, 6 salariés, un Conseil APF de Département de 9 membres élus pour un mandat de 4 ans missionné entre autre.s, pour la mise en œuvre de notre projet associatif "Pouvoir d'agir, pouvoir choisir".</t>
  </si>
  <si>
    <t>30 rue Delacroix</t>
  </si>
  <si>
    <t>Rue Delacroix</t>
  </si>
  <si>
    <t>44.855371825466</t>
  </si>
  <si>
    <t>-0.632757573764835</t>
  </si>
  <si>
    <t>Du Lundi au Vendredi : 9h30-12h/14h-17h30.</t>
  </si>
  <si>
    <t>dd.33@apf.asso.fr</t>
  </si>
  <si>
    <t>http://apf33.blogs.apf.asso.fr/</t>
  </si>
  <si>
    <t>Mo-Fr 09:30-12:00,14:00-17:30</t>
  </si>
  <si>
    <t>Demandeurs d'emploi,Jeunes,Personnes en situation de handicap,Séniors</t>
  </si>
  <si>
    <t>TABLETTE/Non,ORDI/Basique,INTERNET/Basique,MAILS/Basique,CV/Basique,DIFFCV/Basique,ORGRECHEMPLOI/Basique,EMPLOISTORE/Non,DECLAPE/Non,IMPOTS/Non,DROITSSOCIAUXRSACAF/Non,RETRAITE/Non,CPAM/Non,FACTURES/Non,ETATCIVIL/Non,PERMIS/Non,PHOTO/Non,IMPTROISD/Non,PAO/Non,SITEWEB/Non,CODE/Non,MOOC/Non</t>
  </si>
  <si>
    <t>44.8553718255, -0.632757573765</t>
  </si>
  <si>
    <t>45</t>
  </si>
  <si>
    <t>MJC CL2V</t>
  </si>
  <si>
    <t>Association d'éducation populaire, la MJC CL2V est agréée centre social. Les valeurs de l'association sont : Respect, Solidarité, Citoyenneté. C'est un espace de loisirs, de rencontres, de partage, ouvert à tous.</t>
  </si>
  <si>
    <t>11 rue Erik Satie</t>
  </si>
  <si>
    <t>Rue Erik Satie</t>
  </si>
  <si>
    <t>44.8454470154606</t>
  </si>
  <si>
    <t>-0.630545305706131</t>
  </si>
  <si>
    <t>Lundi : 9h-12h30/14h-19h, Mardi : 9h-12h30/13h30-18h30, Mercredi : 8h30-13h00/13h30-19h, Jeudi 8h30-12h30/14h-18h30, Vendredi : 8h30-12h/13h30-16.</t>
  </si>
  <si>
    <t>accueil@mjccl2v.fr</t>
  </si>
  <si>
    <t>http://www.mjccl2v.fr/</t>
  </si>
  <si>
    <t>Mo 09:00-12:30,14:00-19:00; Tu 09:00-12:30,13:30-18:30; We 08:30-13:00,13:15-19:00; Th 08:30-12:30,14:00-18:30; Fr 08:30-12:00,13:30-16:00</t>
  </si>
  <si>
    <t>TABLETTE/Maîtrise,ORDI/Maîtrise,INTERNET/Maîtrise,MAILS/Maîtrise,CV/Maîtrise,DIFFCV/Basique,ORGRECHEMPLOI/Non,EMPLOISTORE/Non,DECLAPE/Maîtrise,IMPOTS/Non,DROITSSOCIAUXRSACAF/Maîtrise,RETRAITE/Basique,CPAM/Basique,FACTURES/Basique,ETATCIVIL/Basique,PERMIS/Basique,PHOTO/Basique,IMPTROISD/Non,PAO/Non,SITEWEB/Non,CODE/Non,MOOC/Non</t>
  </si>
  <si>
    <t>44.8454470155, -0.630545305706</t>
  </si>
  <si>
    <t>46</t>
  </si>
  <si>
    <t>Bibliothèque François Mitterrand</t>
  </si>
  <si>
    <t>L’espace multimédia de la bibliothèque municipale d'Ambarès-et-Lagrave a pour objectif de promouvoir l’accès à l’ information et de favoriser l’ égalité d’accès aux ressources numériques. L’utilisation autonome des ordinateurs est libre et gratuite. La bibliothèque accueille de façon ponctuelle des ateliers et des animations numériques dans le cadre de sa programmation.</t>
  </si>
  <si>
    <t>9 rue Edmond Fabulation</t>
  </si>
  <si>
    <t>rue Edmond Fabulation</t>
  </si>
  <si>
    <t>Ambarès-et-Lagrave</t>
  </si>
  <si>
    <t>Mardi, Jeudi, Vendredi :16h-18h30. Mercredi : 14h-19h. Samedi : 9h30-12h30.</t>
  </si>
  <si>
    <t>bibliotheque@ville-ambaresetlagrave.fr</t>
  </si>
  <si>
    <t>https://bibliotheque.ville-ambaresetlagrave.fr/</t>
  </si>
  <si>
    <t>Tu-Fr 16:00-18:30; Th 14:00-19:00; Sa 09:30-12:30</t>
  </si>
  <si>
    <t>TABLETTE/Maîtrise,ORDI/Expert,INTERNET/Expert,MAILS/Maîtrise,CV/Non,DIFFCV/Non,ORGRECHEMPLOI/Non,EMPLOISTORE/Non,DECLAPE/Non,IMPOTS/Non,DROITSSOCIAUXRSACAF/Non,RETRAITE/Non,CPAM/Non,FACTURES/Non,ETATCIVIL/Non,PERMIS/Non,PHOTO/Basique,IMPTROISD/Non,PAO/Maîtrise,SITEWEB/Basique,CODE/Non,MOOC/Basique</t>
  </si>
  <si>
    <t>49</t>
  </si>
  <si>
    <t>Médiathèque François Mitterrand</t>
  </si>
  <si>
    <t>Mairie d'Ambès</t>
  </si>
  <si>
    <t>La médiathèque François Mitterrand est un service public municipal mis à la disposition de tous. Ce lieu donne accès à différents types de médias, permettant la consultation sur place et à domicile pour tous les âges, ainsi que de nombreux services (espace public numérique., animation, ateliers). Attention : La bibliothèque est en travaux jusqu’en janvier 2021. L’accompagnement au numérique. est possible uniquement sur rendez-vous.</t>
  </si>
  <si>
    <t>5 avenue du Dr Gustave Couaillac</t>
  </si>
  <si>
    <t>Rue du Docteur Gustave Couaillac</t>
  </si>
  <si>
    <t>Ambès</t>
  </si>
  <si>
    <t>45.0117542940425</t>
  </si>
  <si>
    <t>-0.532699085742132</t>
  </si>
  <si>
    <t>Sur rendez-vous jusqu’en janvier 2021 (travaux en cours).</t>
  </si>
  <si>
    <t>biblio@mairie-ambes.fr</t>
  </si>
  <si>
    <t>https://ambes.c3rb.org/</t>
  </si>
  <si>
    <t>https://www.facebook.com/Médiathèque-dAmbès-114018863703336</t>
  </si>
  <si>
    <t>Allocataires,Séniors</t>
  </si>
  <si>
    <t>TABLETTE/Maîtrise,ORDI/Maîtrise,INTERNET/Maîtrise,MAILS/Maîtrise,CV/Maîtrise,DIFFCV/Maîtrise,ORGRECHEMPLOI/Maîtrise,EMPLOISTORE/Basique,DECLAPE/Basique,IMPOTS/Basique,DROITSSOCIAUXRSACAF/Basique,RETRAITE/Basique,CPAM/Basique,FACTURES/Basique,ETATCIVIL/Basique,PERMIS/Basique,PHOTO/Basique,IMPTROISD/Non,PAO/Maîtrise,SITEWEB/Basique,CODE/Non,MOOC/Non</t>
  </si>
  <si>
    <t>45.011754294, -0.532699085742</t>
  </si>
  <si>
    <t>50</t>
  </si>
  <si>
    <t>CCAS de la Ville d'Artigues-près-Bordeaux</t>
  </si>
  <si>
    <t>Le Centre Communale d'Action Sociale de la Ville d'Artigues-près-Bordeaux propose depuis 3 ans des ateliers numériques gratuits à destination des Seniors de + de 55 ans, ainsi qu'un accompagnement sociale des personnes en situation précaire.</t>
  </si>
  <si>
    <t>château Bétailhe, 72 avenue de l'Eglise romane</t>
  </si>
  <si>
    <t>château Bétailhe</t>
  </si>
  <si>
    <t>Du Lundi au Vendredi : 8h30-12h/13h30-17h.</t>
  </si>
  <si>
    <t>ccas@artigues-pres-bordeaux.fr</t>
  </si>
  <si>
    <t>https://www.artigues-pres-bordeaux.fr/</t>
  </si>
  <si>
    <t>https://www.facebook.com/artiguespresbordeaux/</t>
  </si>
  <si>
    <t>Mo-Fr 08:30-12:00,13:30-17:00</t>
  </si>
  <si>
    <t>Allocataires,Etrangers,Personnes en situation de handicap</t>
  </si>
  <si>
    <t>TABLETTE/Basique,ORDI/Basique,INTERNET/Basique,MAILS/Maîtrise,CV/Basique,DIFFCV/Basique,ORGRECHEMPLOI/Basique,EMPLOISTORE/Non,DECLAPE/Maîtrise,IMPOTS/Maîtrise,DROITSSOCIAUXRSACAF/Maîtrise,RETRAITE/Basique,CPAM/Maîtrise,FACTURES/Maîtrise,ETATCIVIL/Non,PERMIS/Basique,PHOTO/Non,IMPTROISD/Non,PAO/Non,SITEWEB/Non,CODE/Non,MOOC/Non</t>
  </si>
  <si>
    <t>59</t>
  </si>
  <si>
    <t>Unisphères</t>
  </si>
  <si>
    <t>UNISPHERES est une association pluridisciplinaire de Mèdiation et de Dèveloppement Artistique, Culturel et Numèrique qui dèploie son projet a travers 6 pôles d activitès : Action Culturelle, Mèdiation, Accompagnement, Formation, Crèation, Evènements.</t>
  </si>
  <si>
    <t>Château de Palmer - Rue Aristide Briand</t>
  </si>
  <si>
    <t>Rue Aristide Briand</t>
  </si>
  <si>
    <t>44.8588687967202</t>
  </si>
  <si>
    <t>-0.524002976837326</t>
  </si>
  <si>
    <t>Du Lundi au Vendredi : 10h-18h.</t>
  </si>
  <si>
    <t>contact@unispheres.fr</t>
  </si>
  <si>
    <t>https://unispheres.fr/</t>
  </si>
  <si>
    <t>https://www.facebook.com/assounispheres/</t>
  </si>
  <si>
    <t>Demandeurs d'emploi,Jeunes,Personnes en situation de handicap</t>
  </si>
  <si>
    <t>TABLETTE/Expert,ORDI/Expert,INTERNET/Expert,MAILS/Expert,CV/Expert,DIFFCV/Expert,ORGRECHEMPLOI/Expert,EMPLOISTORE/Expert,DECLAPE/Expert,IMPOTS/Expert,DROITSSOCIAUXRSACAF/Expert,RETRAITE/Expert,CPAM/Expert,FACTURES/Expert,ETATCIVIL/Expert,PERMIS/Expert,PHOTO/Expert,IMPTROISD/Expert,PAO/Expert,SITEWEB/Expert,CODE/Expert,MOOC/Expert</t>
  </si>
  <si>
    <t>Point relais CAF,Relais Pole Emploi,autres dispositifs</t>
  </si>
  <si>
    <t>44.8588687967, -0.524002976837</t>
  </si>
  <si>
    <t>60</t>
  </si>
  <si>
    <t>Fabrique Citoyenne</t>
  </si>
  <si>
    <t>Mairie de Floirac</t>
  </si>
  <si>
    <t>La Fabrique citoyenne, nèe de l'ancienne Mairie annexe, a ouvert ses portes en septembre 2018. Elle est situèe au coeur d'un quartier prioritaire en plein renouvellement urbain. C'est une structure qui accompagne les usagers dans leurs démarches administratives, qu'elles soient numèriques ou papier. Ce lieu a aussi vocation à accueillir les usagers qui ont juste envie d'un cafè, pour tisser le lien social avec les autres habitants et sortir de l'isolement. C'est aussi un lieu qui accueille diffèrentes permanences pour l'accès aux droits des usagers. La Fabrique c'est aussi le siège des démarches participatives.</t>
  </si>
  <si>
    <t>CC de Dravemont Rue Salvador Allende</t>
  </si>
  <si>
    <t>Rue Salvador Allende</t>
  </si>
  <si>
    <t>Floirac</t>
  </si>
  <si>
    <t>CC de Dravemont</t>
  </si>
  <si>
    <t>44.8463369112469</t>
  </si>
  <si>
    <t>-0.51028293977931</t>
  </si>
  <si>
    <t>Lundi au Vendredi : 8h30-17h.</t>
  </si>
  <si>
    <t>fabriquecitoyenne@ville-floirac33.fr</t>
  </si>
  <si>
    <t>http://www.ville-floirac33.fr/la-democratie-participative/la-fabrique-citoyenne/</t>
  </si>
  <si>
    <t>Mo-Fr 08:30-17:00</t>
  </si>
  <si>
    <t>TABLETTE/Maîtrise,ORDI/Non,INTERNET/Maîtrise,MAILS/Expert,CV/Expert,DIFFCV/Expert,ORGRECHEMPLOI/Expert,EMPLOISTORE/Non,DECLAPE/Expert,IMPOTS/Expert,DROITSSOCIAUXRSACAF/Expert,RETRAITE/Expert,CPAM/Expert,FACTURES/Expert,ETATCIVIL/Expert,PERMIS/Expert,PHOTO/Non,IMPTROISD/Non,PAO/Non,SITEWEB/Non,CODE/Non,MOOC/Non</t>
  </si>
  <si>
    <t>44.8463369112, -0.510282939779</t>
  </si>
  <si>
    <t>61</t>
  </si>
  <si>
    <t>LESCAN</t>
  </si>
  <si>
    <t>Proposer des formations et des activitès de crèation artistiques et numèriques : musique, thèètre, photographie, vidèo, etc. Proposer des activitès d’exploration du monde mèdiatique : ateliers d’èducation aux mèdias, dècryptage journalistique, courts mètrages et documentaires. Promouvoir les valeurs communes du vivre ensemble, les relations intergènèrationnelles et la mixitè sociale. Rendre accessibles, les technologies numèriques au plus grand nombre, lutter contre l'illectronisme. Accompagner tous les publics (particuliers, associations, collectivitès, structures publiques et privèes)</t>
  </si>
  <si>
    <t>rue Marcel Cerdan</t>
  </si>
  <si>
    <t>Rue Marcel Cerdan</t>
  </si>
  <si>
    <t>44.8376047991885</t>
  </si>
  <si>
    <t>-0.507394294243189</t>
  </si>
  <si>
    <t>Du Lundi au Vendredi :09h-18h.</t>
  </si>
  <si>
    <t>lescan.asso@gmail.com</t>
  </si>
  <si>
    <t>TABLETTE/Expert,ORDI/Expert,INTERNET/Expert,MAILS/Expert,CV/Expert,DIFFCV/Expert,ORGRECHEMPLOI/Expert,EMPLOISTORE/Maîtrise,DECLAPE/Expert,IMPOTS/Expert,DROITSSOCIAUXRSACAF/Expert,RETRAITE/Expert,CPAM/Expert,FACTURES/Expert,ETATCIVIL/Expert,PERMIS/Expert,PHOTO/Expert,IMPTROISD/Basique,PAO/Maîtrise,SITEWEB/Non,CODE/Non,MOOC/Basique</t>
  </si>
  <si>
    <t>44.8376047992, -0.507394294243</t>
  </si>
  <si>
    <t>62</t>
  </si>
  <si>
    <t>M.270</t>
  </si>
  <si>
    <t>Espace multimédia rèalisant de l'accompagnement et de la formation.</t>
  </si>
  <si>
    <t>11 Avenue Pierre Curie</t>
  </si>
  <si>
    <t>Avenue Pierre Curie</t>
  </si>
  <si>
    <t>44.8364247769704</t>
  </si>
  <si>
    <t>-0.531707590720176</t>
  </si>
  <si>
    <t>Du Mardi au Samedi : 9h-12h/14h-18h30.</t>
  </si>
  <si>
    <t>multimediam270@gmail.com</t>
  </si>
  <si>
    <t>Tu-Sa 09:00-12:00,14:00-18:30</t>
  </si>
  <si>
    <t>TABLETTE/Expert,ORDI/Expert,INTERNET/Expert,MAILS/Expert,CV/Maîtrise,DIFFCV/Maîtrise,ORGRECHEMPLOI/Maîtrise,EMPLOISTORE/Maîtrise,DECLAPE/Maîtrise,IMPOTS/Maîtrise,DROITSSOCIAUXRSACAF/Maîtrise,RETRAITE/Maîtrise,CPAM/Maîtrise,FACTURES/Maîtrise,ETATCIVIL/Maîtrise,PERMIS/Maîtrise,PHOTO/Expert,IMPTROISD/Non,PAO/Expert,SITEWEB/Maîtrise,CODE/Maîtrise,MOOC/Basique</t>
  </si>
  <si>
    <t>44.836424777, -0.53170759072</t>
  </si>
  <si>
    <t>63</t>
  </si>
  <si>
    <t>UNIRE Centre Social</t>
  </si>
  <si>
    <t>Le Centre Social et l'Equipement de Vie Sociale gèrès par l'association UNIRE, proposent sur le territoire de Floirac un accompagnement social et culturel des habitants : soutien à la parentalitè, animation loisirs, développement vie locale, apprentissage du français, accompagnement au numèrique, insertion sociale et professionnelle.</t>
  </si>
  <si>
    <t>1 rue Voltaire</t>
  </si>
  <si>
    <t>Rue Voltaire</t>
  </si>
  <si>
    <t>44.8444830123419</t>
  </si>
  <si>
    <t>-0.509406242522894</t>
  </si>
  <si>
    <t>Du Lundi au Vendredi : 9h-12h30/14h-18h.</t>
  </si>
  <si>
    <t>accueil.centresocial@unire.fr</t>
  </si>
  <si>
    <t>https://unire.fr/</t>
  </si>
  <si>
    <t>Mo-Fr 09:00-12:30,14:00-18:00</t>
  </si>
  <si>
    <t>TABLETTE/Maîtrise,ORDI/Maîtrise,INTERNET/Maîtrise,MAILS/Maîtrise,CV/Non,DIFFCV/Non,ORGRECHEMPLOI/Non,EMPLOISTORE/Non,DECLAPE/Non,IMPOTS/Non,DROITSSOCIAUXRSACAF/Basique,RETRAITE/Non,CPAM/Non,FACTURES/Non,ETATCIVIL/Non,PERMIS/Non,PHOTO/Non,IMPTROISD/Non,PAO/Non,SITEWEB/Non,CODE/Non,MOOC/Non</t>
  </si>
  <si>
    <t>44.8444830123, -0.509406242523</t>
  </si>
  <si>
    <t>68</t>
  </si>
  <si>
    <t>DIDEE - Centre social et culturel Carriet</t>
  </si>
  <si>
    <t>Animation de la vie sociale sur le quartier de Carriet à Lormont. Le centre accompagne les habitants sur des projets de dèveloppement local divers et variés : jardin partagé, soirées culturelles, dressing solidaire, maison des savoirs, ateliers cuisine, ... La structure a un ancrage dans le quartier et un lien fort avec les familles au travers également de l'accompagnement à la scolaritè et le centre de loisirs. Permanences d'accès aux droits (écrivains publics, numérique)</t>
  </si>
  <si>
    <t>4, rue Jacques Thibaud</t>
  </si>
  <si>
    <t>Rue Jacques Thibaud</t>
  </si>
  <si>
    <t>44.8827468615767</t>
  </si>
  <si>
    <t>-0.525437555691245</t>
  </si>
  <si>
    <t>Du Lundi au Vendredi 9h-12h30/14h-17h30 (sauf le jeudi matin).* attention horaires suspendus depuis le dèbut du confinement, accueil uniquement sur rendez-vous.</t>
  </si>
  <si>
    <t>didee@asso-didee.org</t>
  </si>
  <si>
    <t>https://asso-didee.org/</t>
  </si>
  <si>
    <t>https://www.facebook.com/Association-DIDEE-113473513436622</t>
  </si>
  <si>
    <t>Mo-Fr 09:00-12:30,14:00-17:30; Th 14:00-17:30</t>
  </si>
  <si>
    <t>TABLETTE/Maîtrise,ORDI/Maîtrise,INTERNET/Maîtrise,MAILS/Maîtrise,CV/Basique,DIFFCV/Basique,ORGRECHEMPLOI/Non,EMPLOISTORE/Non,DECLAPE/Basique,IMPOTS/Basique,DROITSSOCIAUXRSACAF/Basique,RETRAITE/Non,CPAM/Basique,FACTURES/Basique,ETATCIVIL/Non,PERMIS/Basique,PHOTO/Basique,IMPTROISD/Non,PAO/Maîtrise,SITEWEB/Basique,CODE/Basique,MOOC/Basique</t>
  </si>
  <si>
    <t>44.8827468616, -0.525437555691</t>
  </si>
  <si>
    <t>69</t>
  </si>
  <si>
    <t>Lormont Informatique Association</t>
  </si>
  <si>
    <t>L'objectif de LIA est de faciliter l'accès au numèrique aux publics financièrement fragiles. Pour cela, nous proposons des cours individuels et collectifs (grands dèbutants compris), des services de réparation et du matériel à petits prix. Nous nous appuyons sur le don, la récupération d'appareils que nous remettons à jour.</t>
  </si>
  <si>
    <t>aucun local</t>
  </si>
  <si>
    <t>nèant</t>
  </si>
  <si>
    <t>contact@lormont-informatique.fr</t>
  </si>
  <si>
    <t>https://lormont-informatique.fr</t>
  </si>
  <si>
    <t>https://www.facebook.com/Lormontinformatique/</t>
  </si>
  <si>
    <t>Allocataires,Demandeurs d'emploi,Personnes en situation de handicap,Séniors</t>
  </si>
  <si>
    <t>TABLETTE/Expert,ORDI/Basique,INTERNET/Expert,MAILS/Expert,CV/Basique,DIFFCV/Maîtrise,ORGRECHEMPLOI/Basique,EMPLOISTORE/Basique,DECLAPE/Basique,IMPOTS/Basique,DROITSSOCIAUXRSACAF/Basique,RETRAITE/Basique,CPAM/Basique,FACTURES/Basique,ETATCIVIL/Basique,PERMIS/Basique,PHOTO/Maîtrise,IMPTROISD/Non,PAO/Maîtrise,SITEWEB/Expert,CODE/Basique,MOOC/Expert</t>
  </si>
  <si>
    <t>70</t>
  </si>
  <si>
    <t>Médiathèque du Bois Fleuri</t>
  </si>
  <si>
    <t>Marie de Lormont</t>
  </si>
  <si>
    <t>Situèe au coeur du Pôle culturel et sportif du Bois fleuri, la Médiathèque est un outil documentaire de pointe. Innovant tant sur le plan architectural que culturel, spacieuse et moderne, baignée de lumière naturelle, la Médiathèque invite à l inspiration et à la dètente.</t>
  </si>
  <si>
    <t>1 rue Lavergne</t>
  </si>
  <si>
    <t>Rue Lavergne</t>
  </si>
  <si>
    <t>44.8766038808015</t>
  </si>
  <si>
    <t>-0.521938633678236</t>
  </si>
  <si>
    <t>Mardi et Vendredi : 15h-19h. Mercredi : 10h-12h30/15h-19h. Samedi : 10h-12h30/13h30-17h.</t>
  </si>
  <si>
    <t>mediatheque@lormont.fr</t>
  </si>
  <si>
    <t>https://mediatheque.lormont.fr/</t>
  </si>
  <si>
    <t>Tu,Fr 15:00-19:00; We 10:00-12:30,15:00-19:00; Sa 10:00-12:30,13:30-17:00</t>
  </si>
  <si>
    <t>TABLETTE/Maîtrise,ORDI/Maîtrise,INTERNET/Maîtrise,MAILS/Maîtrise,CV/Maîtrise,DIFFCV/Maîtrise,ORGRECHEMPLOI/Maîtrise,EMPLOISTORE/Maîtrise,DECLAPE/Maîtrise,IMPOTS/Maîtrise,DROITSSOCIAUXRSACAF/Maîtrise,RETRAITE/Maîtrise,CPAM/Maîtrise,FACTURES/Maîtrise,ETATCIVIL/Maîtrise,PERMIS/Maîtrise,PHOTO/Maîtrise,IMPTROISD/Maîtrise,PAO/Maîtrise,SITEWEB/Maîtrise,CODE/Maîtrise,MOOC/Maîtrise</t>
  </si>
  <si>
    <t>44.8766038808, -0.521938633678</t>
  </si>
  <si>
    <t>72</t>
  </si>
  <si>
    <t>Bibliothèque de Bègles</t>
  </si>
  <si>
    <t>Mairie de Bègles</t>
  </si>
  <si>
    <t>La Bibliothèque de Bègles dispose d'un espace numérique de 10 postes fixes et accès Wi-Fi. Des ateliers d'initiations pour les publics adultes et de découverte des pratiques numériques pour les plus jeunes.</t>
  </si>
  <si>
    <t>58 avenue du Maréchal de Lattre de Tassigny</t>
  </si>
  <si>
    <t>Avenue Maréchal de Lattre de Tassigny</t>
  </si>
  <si>
    <t>44.8056800277814</t>
  </si>
  <si>
    <t>-0.543079531580383</t>
  </si>
  <si>
    <t>Mardi : 16h-19h. Mercredi : 10h30-18h. Jeudi : 15h-18h. Vendredi : 15h-18h. Samedi : 10h30-18h.</t>
  </si>
  <si>
    <t>bibliotheque@mairie-begles.fr</t>
  </si>
  <si>
    <t>http://bibliotheque.mairie-begles.fr/</t>
  </si>
  <si>
    <t>https://www.facebook.com/bibliothequedebegles</t>
  </si>
  <si>
    <t>Tu 16:00-19:00; We,Sa 10:30-18:00; Th,Fr 15:00-18:00</t>
  </si>
  <si>
    <t>TABLETTE/Maîtrise,ORDI/Basique,INTERNET/Maîtrise,MAILS/Expert,CV/Maîtrise,DIFFCV/Maîtrise,ORGRECHEMPLOI/Basique,EMPLOISTORE/Non,DECLAPE/Maîtrise,IMPOTS/Basique,DROITSSOCIAUXRSACAF/Basique,RETRAITE/Non,CPAM/Basique,FACTURES/Basique,ETATCIVIL/Basique,PERMIS/Basique,PHOTO/Maîtrise,IMPTROISD/Non,PAO/Basique,SITEWEB/Basique,CODE/Non,MOOC/Maîtrise</t>
  </si>
  <si>
    <t>44.8056800278, -0.54307953158</t>
  </si>
  <si>
    <t>79</t>
  </si>
  <si>
    <t>ASTI-Pessac (Association de Solidarité avec Tous les Immigrés</t>
  </si>
  <si>
    <t>Association d'aide à l'intégration sociale  des populations issues de l'immigration  et peu autonomes : accompagnement juridique (droit des étrangers : titres de séjour, visas, naturalisation,...), socio-administratif et vie quotidienne (CAF, Pole Emploi,CPAM,.../ téléphonie, assurances, rendez-vous médicaux,...), accompagnement socio-professionnel (CV, lettres de motivations, liens avec les acteurs de l'emploi ou les employeurs,...), démarches liées à la scolarité.</t>
  </si>
  <si>
    <t>Maison municipale de saige - allée des mimosas</t>
  </si>
  <si>
    <t>Maison Municipale de Saige</t>
  </si>
  <si>
    <t>44.7904094346285</t>
  </si>
  <si>
    <t>-0.631189597161964</t>
  </si>
  <si>
    <t>Juridique, socio-administratif et vie quotidienne :  permanences Lundi, Mercredi et Vendredi : 10h30-12h30/15h30-17h30. Mardi et Jeudi : 16h-18h. Autres horaires possibles sur rendez-vous. Accompagnement socio-professionnel et scolarité sur rendez-vous.</t>
  </si>
  <si>
    <t>asti-pessac@wanadoo.fr</t>
  </si>
  <si>
    <t>www.asti-pessac.org</t>
  </si>
  <si>
    <t>Mo-Fr 10:30-13:30; Tu,Th 16:00-18:00</t>
  </si>
  <si>
    <t>TABLETTE/Maîtrise,ORDI/Maîtrise,INTERNET/Maîtrise,MAILS/Expert,CV/Maîtrise,DIFFCV/Maîtrise,ORGRECHEMPLOI/Maîtrise,EMPLOISTORE/Basique,DECLAPE/Expert,IMPOTS/Expert,DROITSSOCIAUXRSACAF/Expert,RETRAITE/Expert,CPAM/Expert,FACTURES/Expert,ETATCIVIL/Expert,PERMIS/Basique,PHOTO/Basique,IMPTROISD/Non,PAO/Basique,SITEWEB/Non,CODE/Non,MOOC/Basique</t>
  </si>
  <si>
    <t>44.7904094346, -0.631189597162</t>
  </si>
  <si>
    <t>83</t>
  </si>
  <si>
    <t>ADAV33</t>
  </si>
  <si>
    <t>Nous disposons d'une borne tactile ainsi que de tablettes pour accompagner les gens dans leur accès au droit par le numérique. Cette démarche est accompagnée par une personne en service civique sous forme de : - permanences à l'accueil sur les horaires d'ouverture de l'ADAV33,- rendez-vous individuels,- ateliers collectifs.</t>
  </si>
  <si>
    <t>91 Rue de la République</t>
  </si>
  <si>
    <t>Rue de la République</t>
  </si>
  <si>
    <t>44.8177376513979</t>
  </si>
  <si>
    <t>-0.580674541287163</t>
  </si>
  <si>
    <t>Durant l’année : ouverture tous les matins de 8h45 à 12h15 + Lundi et Jeudi après-midi de 13h45 a 16h30. En période de vacances scolaires : tous les matins de 8h45 à 12h15.</t>
  </si>
  <si>
    <t>siege@adav-33.fr</t>
  </si>
  <si>
    <t>https://www.adav33.fr/</t>
  </si>
  <si>
    <t>Mo,Th 08:45-12:15,13:45-16:30; Tu,We,Fr 08:45-12:15; SH Mo,Th 08:45-12:15</t>
  </si>
  <si>
    <t>TABLETTE/Maîtrise,ORDI/Maîtrise,INTERNET/Maîtrise,MAILS/Maîtrise,CV/Maîtrise,DIFFCV/Basique,ORGRECHEMPLOI/Maîtrise,EMPLOISTORE/Maîtrise,DECLAPE/Maîtrise,IMPOTS/Expert,DROITSSOCIAUXRSACAF/Expert,RETRAITE/Expert,CPAM/Expert,FACTURES/Expert,ETATCIVIL/Expert,PERMIS/Expert,PHOTO/Basique,IMPTROISD/Non,PAO/Non,SITEWEB/Non,CODE/Non,MOOC/Basique</t>
  </si>
  <si>
    <t>44.8177376514, -0.580674541287</t>
  </si>
  <si>
    <t>84</t>
  </si>
  <si>
    <t>CCAS de Talence</t>
  </si>
  <si>
    <t>Chargée de mener une action générale de soutien aux personnes et de développement social sur la commune, la structure accompagne socialement les foyers talençais sans enfant mineur à charge, décline des prestations d'aide à domicile à l'attention des personnes âgées et des personnes porteuses d'un handicap, propose aux familles des solutions d'accueil pour les 0-3 ans.</t>
  </si>
  <si>
    <t>Rue du Professeur Arnozan</t>
  </si>
  <si>
    <t>44.8089936315001</t>
  </si>
  <si>
    <t>-0.587922987815969</t>
  </si>
  <si>
    <t>Du Lundi au Mercredi : 12h30-19h00. Jeudi et Vendredi : 8h30-12h/13-16h30.</t>
  </si>
  <si>
    <t>ccas@talence.fr</t>
  </si>
  <si>
    <t>https://www.talence.fr/quotidien/action-sociale-solidarite/ccas/</t>
  </si>
  <si>
    <t>Mo-We 12:30-19:00; Th,Fr 08:30-12:00,13:00-16:30</t>
  </si>
  <si>
    <t>Allocataires,Jeunes,Personnes en situation de handicap,Séniors</t>
  </si>
  <si>
    <t>TABLETTE/Non,ORDI/Basique,INTERNET/Maîtrise,MAILS/Maîtrise,CV/Non,DIFFCV/Non,ORGRECHEMPLOI/Non,EMPLOISTORE/Non,DECLAPE/Expert,IMPOTS/Maîtrise,DROITSSOCIAUXRSACAF/Expert,RETRAITE/Basique,CPAM/Expert,FACTURES/Basique,ETATCIVIL/Non,PERMIS/Non,PHOTO/Non,IMPTROISD/Non,PAO/Non,SITEWEB/Non,CODE/Non,MOOC/Non</t>
  </si>
  <si>
    <t>44.8089936315, -0.587922987816</t>
  </si>
  <si>
    <t>90</t>
  </si>
  <si>
    <t>Service Municipal Emploi Ville de Talence</t>
  </si>
  <si>
    <t>Le service municipal de l'emploi de la Ville de Talence a pour mission : d'accompagner les demandeurs d'emploi de la commune dans le cadre de leur recherche d'emploi, de proposer et d'animer des actions favorisant l'insertion professionnelle des demandeurs d'emploi, de faire du lien entre les personnes en recherche d'emploi et les entreprises en phase de recrutement, de coordonner et d'animer le réseau des partenaires de l'emploi du territoire</t>
  </si>
  <si>
    <t>23 Avenue Espeleta</t>
  </si>
  <si>
    <t>44.8104067328905</t>
  </si>
  <si>
    <t>-0.589569364962254</t>
  </si>
  <si>
    <t>Lundi, Mardi, Mercredi : 8h30-12h30/13h30-17h. Jeudi : 10h30-12h30/13h30-17h. Vendredi : 8h30-12h30/13h30-16h15.</t>
  </si>
  <si>
    <t>service.emploi@talence.fr</t>
  </si>
  <si>
    <t>https://www.talence.fr/quotidien/economie-emploi/service-emploi-espalata-dome/</t>
  </si>
  <si>
    <t>Mo-We 08:30-12:30,13:30-17:00; Th 10:30-12:30,13:30-17:00; Fr 08:30-12:30,13:30-16:30</t>
  </si>
  <si>
    <t>TABLETTE/Non,ORDI/Expert,INTERNET/Expert,MAILS/Expert,CV/Expert,DIFFCV/Expert,ORGRECHEMPLOI/Expert,EMPLOISTORE/Expert,DECLAPE/Expert,IMPOTS/Non,DROITSSOCIAUXRSACAF/Expert,RETRAITE/Non,CPAM/Non,FACTURES/Non,ETATCIVIL/Non,PERMIS/Non,PHOTO/Non,IMPTROISD/Non,PAO/Non,SITEWEB/Non,CODE/Non,MOOC/Non</t>
  </si>
  <si>
    <t>44.8104067329, -0.589569364962</t>
  </si>
  <si>
    <t>95</t>
  </si>
  <si>
    <t>L'Eycho du Bourg M3E</t>
  </si>
  <si>
    <t>Mairie d'Eysines</t>
  </si>
  <si>
    <t>L'Eycho est un lieu d'animation et de vie sociale à vocation familiale, pluri-générationnelle et donc ouvert à tou(te)s! Organisé en 4 pôles situés au cœur des quartiers Eysinais, Il propose des projets, des ateliers, des activités et des moments conviviaux à partager tout au long de l'année. Les actions de l'Eycho sont conçues avec les habitants et à partir de leurs attentes dans les domaines du sport, de la culture, des loisirs, du multimédia, de l'action sociale, de l'emploi, de la solidarité ou encore du développement durable.</t>
  </si>
  <si>
    <t>2 avenue de Verdun</t>
  </si>
  <si>
    <t>Eysines</t>
  </si>
  <si>
    <t>44.8858595676289</t>
  </si>
  <si>
    <t>-0.650427802085846</t>
  </si>
  <si>
    <t>Lundi 10h-12h30/14h-18h, Mardi Mercredi Jeudi 10h-12h30/14h-17h15, Vendredi 14h-17h15</t>
  </si>
  <si>
    <t>leycho.bourg@eysines.fr</t>
  </si>
  <si>
    <t>https://www.eysines.fr/solidarite-et-social/leycho/le-centre-social-eycho/</t>
  </si>
  <si>
    <t>https://www.facebook.com/eychoeysines</t>
  </si>
  <si>
    <t>Mo 10:00-12:30,14:00-18:00; Tu-Th 10:00-12:30,14:00-17:15; Fr 14:00-17:15</t>
  </si>
  <si>
    <t>TABLETTE/Expert,ORDI/Expert,INTERNET/Expert,MAILS/Expert,CV/Expert,DIFFCV/Expert,ORGRECHEMPLOI/Maîtrise,EMPLOISTORE/Maîtrise,DECLAPE/Expert,IMPOTS/Maîtrise,DROITSSOCIAUXRSACAF/Expert,RETRAITE/Basique,CPAM/Expert,FACTURES/Expert,ETATCIVIL/Maîtrise,PERMIS/Basique,PHOTO/Maîtrise,IMPTROISD/Non,PAO/Expert,SITEWEB/Basique,CODE/Non,MOOC/Maîtrise</t>
  </si>
  <si>
    <t>44.8858595676, -0.650427802086</t>
  </si>
  <si>
    <t>96</t>
  </si>
  <si>
    <t>L'Eycho de la Forêt</t>
  </si>
  <si>
    <t>10 rue Marguerite Duras</t>
  </si>
  <si>
    <t>Rue Marguerite Duras</t>
  </si>
  <si>
    <t>44.8637608719417</t>
  </si>
  <si>
    <t>-0.643801653753086</t>
  </si>
  <si>
    <t>Lundi 10h-13h/14h-18h, Mardi Mercredi Jeudi 10h-13h/14h-19h, Vendredi 15h-19h, Samedi 14h-18h</t>
  </si>
  <si>
    <t>Lundi 10h-13h/14h-18h, Mardi Mercredi Jeudi 10h-13h/14h-19h, Vendredi 15h-19h, Samedi 14h-18h.</t>
  </si>
  <si>
    <t>Mo 10:00-13:00,14:00-18:00; Tu-Th 10:00-13:00,14:00-19:00; Fr 15:00-19:00; Sa 14:00-18:00</t>
  </si>
  <si>
    <t>44.8637608719, -0.643801653753</t>
  </si>
  <si>
    <t>97</t>
  </si>
  <si>
    <t>Médiathèque Jean Degoul d'Eysines</t>
  </si>
  <si>
    <t>Encadrée de verdure et au pied du tram D, la médiathèque Jean Degoul vous propose des espaces au calme pour lire ou travailler, mais aussi, pour toute la famille, des rencontres littéraires ou musicales, des conférences, des expositions, des lectures pour la jeunesse et un "club des incorrigibles lecteurs". Avec 4 postes en libre-service et 10 tablettes en prêt sur place, pour consulter vos messageries ou surfer sur internet, venez expérimenter, dans les ateliers, des apprentissages facilités et des expériences utilisateurs innovantes et épanouissantes.</t>
  </si>
  <si>
    <t>2 rue de l’Église</t>
  </si>
  <si>
    <t>Rue de l'Eglise</t>
  </si>
  <si>
    <t>Mardi, Vendredi : 14h-18h30. Mercredi : 10h-18h30. Samedi : 10h-16h.</t>
  </si>
  <si>
    <t>mediatheque@eysines.fr</t>
  </si>
  <si>
    <t>https://www.eysines-culture.fr/lieux/mediatheque-jean-degoul/</t>
  </si>
  <si>
    <t>https://www.facebook.com/EysinesCulture</t>
  </si>
  <si>
    <t>Tu,Fr 14:00-18:30; We 10:00-18:30; Sa 10:00-16:00</t>
  </si>
  <si>
    <t>TABLETTE/Basique,ORDI/Basique,INTERNET/Basique,MAILS/Basique,CV/Non,DIFFCV/Non,ORGRECHEMPLOI/Non,EMPLOISTORE/Non,DECLAPE/Non,IMPOTS/Non,DROITSSOCIAUXRSACAF/Non,RETRAITE/Non,CPAM/Non,FACTURES/Non,ETATCIVIL/Non,PERMIS/Non,PHOTO/Non,IMPTROISD/Non,PAO/Non,SITEWEB/Non,CODE/Basique,MOOC/Non</t>
  </si>
  <si>
    <t>99</t>
  </si>
  <si>
    <t>Ricochet</t>
  </si>
  <si>
    <t>L'association Ricochet est un lieu d'initiatives porté par des habitants. Espace de création sociale et de participation citoyenne, elle réunit des personnes de toutes générations autour de valeurs communes. Ricochet est un partenaire de la vie de la ville du Bouscat et souhaite porter une attention toute particulière et contribuer au développement social local de l'est du Bouscat, de l'avenue de la Libération à la Place Ravezies. Depuis le 1er janvier 2019, l'association Ricochet est agréée centre social par la CAF de la Gironde.</t>
  </si>
  <si>
    <t>8 rue Condorcet</t>
  </si>
  <si>
    <t>Rue Condorcet</t>
  </si>
  <si>
    <t>Le Bouscat</t>
  </si>
  <si>
    <t>44.8691056484179</t>
  </si>
  <si>
    <t>-0.578416104725714</t>
  </si>
  <si>
    <t>Sur rendez-vous le : Mardi, Mercredi, Vendredi et Samedi 11h-12h30/14h-19h. Jeudi : 16h30-20h accès sans rendez-vous.</t>
  </si>
  <si>
    <t>association@ricochetasso.fr</t>
  </si>
  <si>
    <t>https://www.ricochetasso.fr</t>
  </si>
  <si>
    <t>https://www.facebook.com/ricochetasso33/</t>
  </si>
  <si>
    <t>Th 16:30-20:00</t>
  </si>
  <si>
    <t>TABLETTE/Expert,ORDI/Maîtrise,INTERNET/Maîtrise,MAILS/Expert,CV/Maîtrise,DIFFCV/Basique,ORGRECHEMPLOI/Basique,EMPLOISTORE/Basique,DECLAPE/Maîtrise,IMPOTS/Maîtrise,DROITSSOCIAUXRSACAF/Maîtrise,RETRAITE/Basique,CPAM/Maîtrise,FACTURES/Maîtrise,ETATCIVIL/Maîtrise,PERMIS/Maîtrise,PHOTO/Basique,IMPTROISD/Non,PAO/Basique,SITEWEB/Basique,CODE/Non,MOOC/Basique</t>
  </si>
  <si>
    <t>44.8691056484, -0.578416104726</t>
  </si>
  <si>
    <t>101</t>
  </si>
  <si>
    <t>Centre Socioculturel La Source</t>
  </si>
  <si>
    <t>La Source est un équipement de proximité porté par des habitants engagés, accompagnés par une équipe de professionnels au service de leurs projets. Le centre participe à la vie du territoire en soutenant les initiatives locales autour du vivre ensemble et de la citoyenneté. Il soutient les habitants de tous âges et les familles en proposant des actions relatives à la parentalité, des loisirs éducatifs, de l'accompagnement aux démarches administratives et d'accès aux droits ainsi qu'au montage de projet. Il accueille également des partenaires autour du logement, de l’accompagnement social, et de l'alphabétisation.</t>
  </si>
  <si>
    <t>58 rue Edmond Rostand</t>
  </si>
  <si>
    <t>Rue Edmond Rostand</t>
  </si>
  <si>
    <t>Le Haillan</t>
  </si>
  <si>
    <t>44.8636131735727</t>
  </si>
  <si>
    <t>-0.671097076611717</t>
  </si>
  <si>
    <t>Lundi : 14h-18h. Mardi, Mercredi, Jeudi, Vendredi : 9h-12h/ 14h-18h.</t>
  </si>
  <si>
    <t>lasource@ville-lehaillan.fr</t>
  </si>
  <si>
    <t>https://www.ville-lehaillan.fr/La-Source-Centre-Socio-Culturel.html</t>
  </si>
  <si>
    <t>https://www.facebook.com/LaSource33185/</t>
  </si>
  <si>
    <t>Mo 14:00-18:00; Tu-Fr 09:00-12:00,14:00-18:00</t>
  </si>
  <si>
    <t>TABLETTE/Non,ORDI/Non,INTERNET/Maîtrise,MAILS/Maîtrise,CV/Maîtrise,DIFFCV/Maîtrise,ORGRECHEMPLOI/Maîtrise,EMPLOISTORE/Non,DECLAPE/Maîtrise,IMPOTS/Maîtrise,DROITSSOCIAUXRSACAF/Expert,RETRAITE/Maîtrise,CPAM/Maîtrise,FACTURES/Maîtrise,ETATCIVIL/Maîtrise,PERMIS/Non,PHOTO/Non,IMPTROISD/Non,PAO/Non,SITEWEB/Non,CODE/Non,MOOC/Non</t>
  </si>
  <si>
    <t>44.8636131736, -0.671097076612</t>
  </si>
  <si>
    <t>102</t>
  </si>
  <si>
    <t>Médiathèque du Taillan-Médoc</t>
  </si>
  <si>
    <t>Mairie du Taillan-Médoc</t>
  </si>
  <si>
    <t>Au cœur du Pôle Culturel de la Haye, la culture se livre ici dans un véritable écrin de verdure. Sur plus de 1500m2, profitez d’un choix de plus de 30 000 documents, au gré d’espaces chaleureux et accueillants, où l’équipe de la médiathèque vous accompagnera dans vos découvertes.</t>
  </si>
  <si>
    <t>8 rue de Calavet</t>
  </si>
  <si>
    <t>Rue de Calavet</t>
  </si>
  <si>
    <t>Le Taillan-Médoc</t>
  </si>
  <si>
    <t>44.9114663819495</t>
  </si>
  <si>
    <t>-0.681306588097497</t>
  </si>
  <si>
    <t>Mardi : 14h-18h. Mercredi : 10h-18h. Vendredi : 14h-18h. Samedi : 10h-17h.</t>
  </si>
  <si>
    <t>mediatheque@taillan-medoc.fr</t>
  </si>
  <si>
    <t>http://www.mediatheque-taillan-medoc.fr/</t>
  </si>
  <si>
    <t>https://www.facebook.com/Médiathèque-du-Taillan-Médoc-5980382303</t>
  </si>
  <si>
    <t>Tu,Fr 14:00-18:00; We 10:00-18:00; Sa 10:00-17:00</t>
  </si>
  <si>
    <t>TABLETTE/Maîtrise,ORDI/Maîtrise,INTERNET/Maîtrise,MAILS/Maîtrise,CV/Basique,DIFFCV/Basique,ORGRECHEMPLOI/Basique,EMPLOISTORE/Non,DECLAPE/Basique,IMPOTS/Basique,DROITSSOCIAUXRSACAF/Basique,RETRAITE/Basique,CPAM/Basique,FACTURES/Basique,ETATCIVIL/Basique,PERMIS/Basique,PHOTO/Basique,IMPTROISD/Non,PAO/Basique,SITEWEB/Non,CODE/Non,MOOC/Maîtrise</t>
  </si>
  <si>
    <t>44.9114663819, -0.681306588097</t>
  </si>
  <si>
    <t>104</t>
  </si>
  <si>
    <t>AGIRabcd (Association Générale des Intervenants Retraités actions de bénévoles de coopération et de développement)</t>
  </si>
  <si>
    <t>L’Association Générale des Intervenants Retraités met les compétences de ses bénévoles au service du public en difficulté.</t>
  </si>
  <si>
    <t>55 avenue du Maréchal de Lattre de Tassigny</t>
  </si>
  <si>
    <t>44.8458005622477</t>
  </si>
  <si>
    <t>-0.65471965686926</t>
  </si>
  <si>
    <t>Lundi au Vendredi : 9h-17h.</t>
  </si>
  <si>
    <t>agirmerignac@gmail.com</t>
  </si>
  <si>
    <t>http://agirabcd33.com/antenne-merignac.html</t>
  </si>
  <si>
    <t>Mo-Fr 09:00-17:00</t>
  </si>
  <si>
    <t>TABLETTE/Maîtrise,ORDI/Maîtrise,INTERNET/Maîtrise,MAILS/Maîtrise,CV/Non,DIFFCV/Non,ORGRECHEMPLOI/Non,EMPLOISTORE/Non,DECLAPE/Non,IMPOTS/Non,DROITSSOCIAUXRSACAF/Non,RETRAITE/Non,CPAM/Non,FACTURES/Non,ETATCIVIL/Non,PERMIS/Non,PHOTO/Non,IMPTROISD/Non,PAO/Non,SITEWEB/Non,CODE/Non,MOOC/Non</t>
  </si>
  <si>
    <t>44.8458005622, -0.654719656869</t>
  </si>
  <si>
    <t>105</t>
  </si>
  <si>
    <t>Arts et Loisirs d'Arlac - Centre Socioculturel</t>
  </si>
  <si>
    <t>Le centre socioculturel Arts et Loisirs d’Arlac est une association à but non lucratif, agréée d’Education Populaire. Elle fonctionne grâce à tous ses adhérents, des administrateurs élus lors de l’Assemblée Générale annuelle, ses nombreux bénévoles et une équipe de salariés.</t>
  </si>
  <si>
    <t>14 rue Marcel</t>
  </si>
  <si>
    <t>Avenue Chapelle Sainte-Bernadette</t>
  </si>
  <si>
    <t>44.8232334870555</t>
  </si>
  <si>
    <t>-0.62372669315055</t>
  </si>
  <si>
    <t>Lundi : 14h-19h. Mardi : 10h-12h/14h-19h. Mercredi : 9h30-12h/14h-17h30. Jeudi : 10h30-12h/14h-19h. Vendredi : 10h-12h/14h-19h. Samedi : 9h30-12h.</t>
  </si>
  <si>
    <t>contact@artsetloisirsarlac.fr</t>
  </si>
  <si>
    <t>https://artsetloisirsarlac.centres-sociaux.fr/</t>
  </si>
  <si>
    <t>https://www.facebook.com/artsetloisirsarlac.fr/</t>
  </si>
  <si>
    <t>Mo 14:00-19:00; Tu,Fr 10:00-12:00,14:00-19:00; We 09:30-12:00,14:00-19:30; Th 10:30-12:00,14:00-19:00; Sa 09:30-12:00</t>
  </si>
  <si>
    <t>TABLETTE/Maîtrise,ORDI/Expert,INTERNET/Maîtrise,MAILS/Maîtrise,CV/Maîtrise,DIFFCV/Maîtrise,ORGRECHEMPLOI/Maîtrise,EMPLOISTORE/Maîtrise,DECLAPE/Basique,IMPOTS/Basique,DROITSSOCIAUXRSACAF/Maîtrise,RETRAITE/Non,CPAM/Maîtrise,FACTURES/Non,ETATCIVIL/Basique,PERMIS/Basique,PHOTO/Expert,IMPTROISD/Expert,PAO/Maîtrise,SITEWEB/Expert,CODE/Maîtrise,MOOC/Basique</t>
  </si>
  <si>
    <t>44.8232334871, -0.623726693151</t>
  </si>
  <si>
    <t>107</t>
  </si>
  <si>
    <t>Bureau Information Jeunesse Mérignac</t>
  </si>
  <si>
    <t>Le BIJ est un lieu d'accueil, d'information, de conseil et d'accompagnement aux projets pour : l’orientation, l’insertion, la recherche d’emploi : aide à la rédaction de CV et de lettre de motivation, les dispositifs d’aide ou projets de mobilité. Le BIJ propose au public différents services : accès à des postes informatiques, imprimante, scanner, photocopieuse ainsi que de la documentation et d’autres outils d’information.</t>
  </si>
  <si>
    <t>Place Charles de Gaulle</t>
  </si>
  <si>
    <t>Mérignac Cedex</t>
  </si>
  <si>
    <t>médiathèque Michel Sainte Marie BP 40273</t>
  </si>
  <si>
    <t>44.842035341258</t>
  </si>
  <si>
    <t>-0.646547467595936</t>
  </si>
  <si>
    <t>Mardi et Vendredi : 14h-18h. Mercredi : 10h-13h/14h-18h. Jeudi : 14h-17h. Samedi : 10h-13h/14h-17h.</t>
  </si>
  <si>
    <t>bij@merignac.com</t>
  </si>
  <si>
    <t>http://www.merignac.com/actualites/le-bureau-information-jeunesse-merignac-un-lieu-pour-tous-les-jeunes-de-11-30-ans</t>
  </si>
  <si>
    <t>https://www.facebook.com/merignacjeunesse/</t>
  </si>
  <si>
    <t>Mo,Fr 14:00-18:00; We 10:00-13:00,14:00-18:00; Th 14:00-17:00; Sa 10:00-13:00,14:00-17:00</t>
  </si>
  <si>
    <t>Etrangers,Jeunes,Personnes en situation de handicap</t>
  </si>
  <si>
    <t>TABLETTE/Maîtrise,ORDI/Maîtrise,INTERNET/Maîtrise,MAILS/Maîtrise,CV/Maîtrise,DIFFCV/Maîtrise,ORGRECHEMPLOI/Maîtrise,EMPLOISTORE/Maîtrise,DECLAPE/Maîtrise,IMPOTS/Non,DROITSSOCIAUXRSACAF/Non,RETRAITE/Non,CPAM/Non,FACTURES/Non,ETATCIVIL/Non,PERMIS/Non,PHOTO/Basique,IMPTROISD/Non,PAO/Maîtrise,SITEWEB/Non,CODE/Non,MOOC/Maîtrise</t>
  </si>
  <si>
    <t>44.8420353413, -0.646547467596</t>
  </si>
  <si>
    <t>114</t>
  </si>
  <si>
    <t>ConfluenceS</t>
  </si>
  <si>
    <t>ConfluenceS est l'association qui regroupe l'Espace de Vie Sociale de Feydit (quartier de Corbiac), le centre social de la Maison d'Animation des Jalles (quartiers de Magudas et Caupian) et l'Espace de Vie Sociale de La Ruche (quartiers du centre-ville et Gajac). Elle accueille les familles des quartiers Est de la ville de Saint-Médard-en-Jalles.</t>
  </si>
  <si>
    <t>11 rue du Commandant Charcot</t>
  </si>
  <si>
    <t>Rue du Commandant Charcot</t>
  </si>
  <si>
    <t>44.864356090348</t>
  </si>
  <si>
    <t>-0.725727940959489</t>
  </si>
  <si>
    <t>Lundi au Jeudi : 8h30-12h30/13h30-18h00.</t>
  </si>
  <si>
    <t>maj@asso-confluences.fr</t>
  </si>
  <si>
    <t>http://www.maisondanimationdesjalles.org/</t>
  </si>
  <si>
    <t>Mo-Th 09:30-12:30,13:30-18:00</t>
  </si>
  <si>
    <t>TABLETTE/Basique,ORDI/Basique,INTERNET/Maîtrise,MAILS/Maîtrise,CV/Basique,DIFFCV/Non,ORGRECHEMPLOI/Non,EMPLOISTORE/Non,DECLAPE/Basique,IMPOTS/Basique,DROITSSOCIAUXRSACAF/Expert,RETRAITE/Basique,CPAM/Basique,FACTURES/Basique,ETATCIVIL/Basique,PERMIS/Basique,PHOTO/Non,IMPTROISD/Non,PAO/Non,SITEWEB/Non,CODE/Non,MOOC/Non</t>
  </si>
  <si>
    <t>44.8643560903, -0.725727940959</t>
  </si>
  <si>
    <t>115</t>
  </si>
  <si>
    <t>La Ruche – ConfluenceS</t>
  </si>
  <si>
    <t>L'association ConfluenceS regroupe 1 centre social et 2 Espaces de Vie Sociale sur Saint-Médard-en-Jalles. L'Espace de Vie Sociale de La Ruche y développe des projets d'animation de la vie locale en centre-ville.</t>
  </si>
  <si>
    <t>23 rue Henri Martin</t>
  </si>
  <si>
    <t>Rue Henri Martin</t>
  </si>
  <si>
    <t>44.8934245841448</t>
  </si>
  <si>
    <t>-0.714179885020223</t>
  </si>
  <si>
    <t>Ateliers informatiques : Mardi et Jeudi : 14h-16h. Permanences administratives : Mardi et Jeudi : 17h-19h.</t>
  </si>
  <si>
    <t>laruche@asso-confluences.fr</t>
  </si>
  <si>
    <t>https://www.laruchenjalles.com/</t>
  </si>
  <si>
    <t>Tu,Th 14:00-16:00</t>
  </si>
  <si>
    <t>Tout public,Allocataires,Demandeurs d'emploi,Etrangers,Jeunes,Personnes en situation de handicap,Séniors</t>
  </si>
  <si>
    <t>TABLETTE/Basique,ORDI/Basique,INTERNET/Maîtrise,MAILS/Maîtrise,CV/Basique,DIFFCV/Basique,ORGRECHEMPLOI/Basique,EMPLOISTORE/Non,DECLAPE/Basique,IMPOTS/Basique,DROITSSOCIAUXRSACAF/Maîtrise,RETRAITE/Basique,CPAM/Basique,FACTURES/Basique,ETATCIVIL/Basique,PERMIS/Basique,PHOTO/Non,IMPTROISD/Non,PAO/Non,SITEWEB/Non,CODE/Non,MOOC/Non</t>
  </si>
  <si>
    <t>44.8934245841, -0.71417988502</t>
  </si>
  <si>
    <t>116</t>
  </si>
  <si>
    <t>Médiathèque de Saint-Médard-en-Jalles</t>
  </si>
  <si>
    <t>Mairie de Saint-Médard-en-Jalles</t>
  </si>
  <si>
    <t>Les Médiathèques vous proposent des livres, BD et mangas, CD et DVD, partitions et instruments de musique, jeux vidéo et jeux traditionnels, journaux et revues, un espace d’autoformation, deux espaces multimédia et des ressources numériques pour toute la famille. Vous y trouverez aussi une programmation culturelle riche et variée, renouvelée chaque mois.</t>
  </si>
  <si>
    <t>Place de la République</t>
  </si>
  <si>
    <t>44.8926963614846</t>
  </si>
  <si>
    <t>-0.71496582302561</t>
  </si>
  <si>
    <t>Mardi, Jeudi et Vendredi : 14h30-18h. Mercredi : 10h-19h. Samedi : 10h-18h.</t>
  </si>
  <si>
    <t>mediatheques@saint-medard-en-jalles.fr</t>
  </si>
  <si>
    <t>http://mediatheques.saint-medard-en-jalles.fr</t>
  </si>
  <si>
    <t>https://www.facebook.com/lesmediathequessmj/</t>
  </si>
  <si>
    <t>Tu-Fr 14:30-18:00; We 10:00-19:00; Sa 10:00-18:00</t>
  </si>
  <si>
    <t>TABLETTE/Maîtrise,ORDI/Maîtrise,INTERNET/Expert,MAILS/Expert,CV/Basique,DIFFCV/Basique,ORGRECHEMPLOI/Non,EMPLOISTORE/Non,DECLAPE/Non,IMPOTS/Basique,DROITSSOCIAUXRSACAF/Basique,RETRAITE/Non,CPAM/Non,FACTURES/Non,ETATCIVIL/Basique,PERMIS/Basique,PHOTO/Maîtrise,IMPTROISD/Non,PAO/Maîtrise,SITEWEB/Maîtrise,CODE/Maîtrise,MOOC/Maîtrise</t>
  </si>
  <si>
    <t>44.8926963615, -0.714965823026</t>
  </si>
  <si>
    <t>118</t>
  </si>
  <si>
    <t>Maison de quartier Feydit</t>
  </si>
  <si>
    <t>Maison de quartier</t>
  </si>
  <si>
    <t>L'association " Centre d'animation de Feydit ", créée en décembre 1992, est une association de quartiers (secteurs EST de Saint-Médard-en-Jalles) dont les buts visent principalement la création de liens entre les habitants le dialogue et la solidarité entre générations, la possibilité pour chacun de s'exprimer et l'animation d'un centre d'accueil pour les jeunes. Les activités proposées par Feydit concernent toutes les classes d'âges.</t>
  </si>
  <si>
    <t>60 route de Feydit</t>
  </si>
  <si>
    <t>Route de Feydit</t>
  </si>
  <si>
    <t>44.8697194156193</t>
  </si>
  <si>
    <t>-0.70281075287073</t>
  </si>
  <si>
    <t>Jeudi 14h-16 Point relais CAF.  Ponctuellement le Vendredi 14h-16h.</t>
  </si>
  <si>
    <t>feydit@asso-confluences.fr</t>
  </si>
  <si>
    <t>http://feydit.saintmedardasso.fr/</t>
  </si>
  <si>
    <t>Th,Fr 14:00-16:00</t>
  </si>
  <si>
    <t>TABLETTE/Maîtrise,ORDI/Maîtrise,INTERNET/Maîtrise,MAILS/Maîtrise,CV/Basique,DIFFCV/Basique,ORGRECHEMPLOI/Basique,EMPLOISTORE/Non,DECLAPE/Non,IMPOTS/Non,DROITSSOCIAUXRSACAF/Basique,RETRAITE/Non,CPAM/Non,FACTURES/Non,ETATCIVIL/Non,PERMIS/Non,PHOTO/Maîtrise,IMPTROISD/Non,PAO/Basique,SITEWEB/Non,CODE/Non,MOOC/Non</t>
  </si>
  <si>
    <t>44.8697194156, -0.702810752871</t>
  </si>
  <si>
    <t>120</t>
  </si>
  <si>
    <t>Atelier Giono</t>
  </si>
  <si>
    <t>Les ateliers Brach et Giono de la ville de bordeaux dispensent des activités d'apprentissage tout le long de l'année aux personnes âgées de 60 ans, par le biais des intervenants professionnels Des cours d'informatiques sont donnés sous un format de stage de 3h à 6h autour  de différentes thématiques . Les tarifs d'un stage de 3h, établis en fonction des résidents bordelais, s'échelonnent  de 3 à 11 euros. Un forfait de 13 euros est appliqué aux seniors non domiciliés sur Bordeaux</t>
  </si>
  <si>
    <t>Maison Polyvalente Coeur de Bastide 13 allée Jean Giono</t>
  </si>
  <si>
    <t>Allée Jean Giono</t>
  </si>
  <si>
    <t>44.845486732478</t>
  </si>
  <si>
    <t>-0.562919208432608</t>
  </si>
  <si>
    <t>Lundi au Vendredi : 9h à 12 h et de 14h à 17h</t>
  </si>
  <si>
    <t>atelierssenior@mairie-bordeaux.fr</t>
  </si>
  <si>
    <t>https://seniorsreporters.bordeaux.fr</t>
  </si>
  <si>
    <t>https://www.facebook.com/Bordeaux.Seniors/</t>
  </si>
  <si>
    <t>TABLETTE/Expert,ORDI/Expert,INTERNET/Expert,MAILS/Maîtrise,CV/Non,DIFFCV/Non,ORGRECHEMPLOI/Non,EMPLOISTORE/Non,DECLAPE/Non,IMPOTS/Non,DROITSSOCIAUXRSACAF/Non,RETRAITE/Non,CPAM/Non,FACTURES/Non,ETATCIVIL/Non,PERMIS/Non,PHOTO/Expert,IMPTROISD/Non,PAO/Non,SITEWEB/Non,CODE/Non,MOOC/Non</t>
  </si>
  <si>
    <t>44.8454867325, -0.562919208433</t>
  </si>
  <si>
    <t>126</t>
  </si>
  <si>
    <t>Ludo-Médiathèque de Saint-Médard-en-Jalles</t>
  </si>
  <si>
    <t>26, rue Aurel Chazeau</t>
  </si>
  <si>
    <t>Rue Aurel Chazeau</t>
  </si>
  <si>
    <t>44.9002627879429</t>
  </si>
  <si>
    <t>-0.744992912932955</t>
  </si>
  <si>
    <t>Mardi et Vendredi : 14h30-18h. Mercredi : 10h-19h. Samedi : 10h-18h.</t>
  </si>
  <si>
    <t>Tu,Fr 14:30-18:00; We 10:00-19:00; Sa 10:00-18:00</t>
  </si>
  <si>
    <t>44.9002627879, -0.744992912933</t>
  </si>
  <si>
    <t>127</t>
  </si>
  <si>
    <t>L'Eycho du Vigean</t>
  </si>
  <si>
    <t>Grand Caillou, Bât 11</t>
  </si>
  <si>
    <t>Grand Caillou</t>
  </si>
  <si>
    <t>Bât 11</t>
  </si>
  <si>
    <t>44.8806485493299</t>
  </si>
  <si>
    <t>-0.635387067744235</t>
  </si>
  <si>
    <t>Lundi 10h-12h30/14h-17h, Mardi Mercredi Jeudi 9h-12h30/14h-19h, Vendredi 14h-18h, Samedi 14h-18h</t>
  </si>
  <si>
    <t>Mo 10:00-12:30,14:00-17:00; Tu-Th 09:00-12:30,14:00-19:00; Fr,Sa 14:00-18:00</t>
  </si>
  <si>
    <t>44.8806485493, -0.635387067744</t>
  </si>
  <si>
    <t>129</t>
  </si>
  <si>
    <t>UDAF de la Gironde</t>
  </si>
  <si>
    <t>L'Union Départementale des Associations Familiale de Gironde est une association d'utilité publique dont la mission est de représenter les familles en défendant les intérêts de ces dernières. Dans le cadre des actions proposées aux familles, elle anime des ateliers de codage informatique pour les enfants et leurs parents afin de favoriser la formation à l'usage responsable du numérique et la relation intergénérationnelle.</t>
  </si>
  <si>
    <t>25 rue Francis Martin</t>
  </si>
  <si>
    <t>Rue Francis Martin</t>
  </si>
  <si>
    <t>44.8496866967274</t>
  </si>
  <si>
    <t>-0.582296016292285</t>
  </si>
  <si>
    <t>Réception du public sur rendez-vous.</t>
  </si>
  <si>
    <t>institution@udaf33.fr</t>
  </si>
  <si>
    <t>www.udaf33.fr</t>
  </si>
  <si>
    <t>https://www.facebook.com/UDAF.Gironde.33</t>
  </si>
  <si>
    <t>TABLETTE/Non,ORDI/Non,INTERNET/Non,MAILS/Non,CV/Non,DIFFCV/Non,ORGRECHEMPLOI/Non,EMPLOISTORE/Non,DECLAPE/Non,IMPOTS/Non,DROITSSOCIAUXRSACAF/Non,RETRAITE/Non,CPAM/Non,FACTURES/Non,ETATCIVIL/Non,PERMIS/Non,PHOTO/Non,IMPTROISD/Non,PAO/Non,SITEWEB/Non,CODE/Maîtrise,MOOC/Non</t>
  </si>
  <si>
    <t>44.8496866967, -0.582296016292</t>
  </si>
  <si>
    <t>3</t>
  </si>
  <si>
    <t>Bibliothèque Bordeaux Lac</t>
  </si>
  <si>
    <t>Au cœur de la cité arborée des Aubiers, la bibliothèque accompagne les familles et participe à la réflexion sur les changements urbains et architecturaux de ce quartier en pleine mutation. La bibliothèque met à votre disposition quatre postes Internet et des tables de travail.</t>
  </si>
  <si>
    <t>Place Ginette Neveu</t>
  </si>
  <si>
    <t>44.8738197515941</t>
  </si>
  <si>
    <t>-0.572357500735627</t>
  </si>
  <si>
    <t>44.8738197516, -0.572357500736</t>
  </si>
  <si>
    <t>4</t>
  </si>
  <si>
    <t>Cap Sciences / Fab Lab du 127°</t>
  </si>
  <si>
    <t>Cap Sciences est un Centre de Culture Scientifique, Technique et Industrielle (CCSTI) qui a pour mission de diffuser la culture scientifique auprès du plus grand nombre. Ouvert au sein du Hangar 20 sur les quais, le Fab Lab du 127° est un lieu dédié à la fabrication numérique. Imprimantes 3D, découpes lasers ou vinyle, le Fab Lab propose un accès à des outils de fabrication numérique, un espace de travail et l'accompagnement d'une équipe de Fab managers. Ateliers, stages, projets, évènements rythment la programmation annuelle du lieu, accessible gratuitement sur certains rendez-vous (ateliers découverte, Open Labs) ou sur tarification ou abonnement pour les usagers plus réguliers.</t>
  </si>
  <si>
    <t>quai de Bacalan</t>
  </si>
  <si>
    <t>Quai de Bacalan</t>
  </si>
  <si>
    <t>Hangar 20</t>
  </si>
  <si>
    <t>44.8596742548768</t>
  </si>
  <si>
    <t>-0.554840941922581</t>
  </si>
  <si>
    <t>Le Fab Lab est ouvert à 18h30 les Mercredis "Open lab" (gratuit), Jeudi et Vendredi : 14h-18h, Samedi et Dimanche : 14h-19h.</t>
  </si>
  <si>
    <t>contact@cap-sciences.net</t>
  </si>
  <si>
    <t>http://cap-sciences.net/</t>
  </si>
  <si>
    <t>https://www.facebook.com/cap.sciences</t>
  </si>
  <si>
    <t>Th,Fr 14:00-18:00; Sa,Su 14:00-19:00</t>
  </si>
  <si>
    <t>TABLETTE/Maîtrise,ORDI/Maîtrise,INTERNET/Maîtrise,MAILS/Maîtrise,CV/Non,DIFFCV/Non,ORGRECHEMPLOI/Non,EMPLOISTORE/Non,DECLAPE/Non,IMPOTS/Non,DROITSSOCIAUXRSACAF/Non,RETRAITE/Non,CPAM/Non,FACTURES/Non,ETATCIVIL/Non,PERMIS/Non,PHOTO/Basique,IMPTROISD/Expert,PAO/Maîtrise,SITEWEB/Non,CODE/Maîtrise,MOOC/Basique</t>
  </si>
  <si>
    <t>44.8596742549, -0.554840941923</t>
  </si>
  <si>
    <t>7</t>
  </si>
  <si>
    <t>Dans sa partie DPLAI (Dispositif Permanent de Lutte de Analphabétisme et l’Illettrisme), le CLAP Sud Ouest association d'évaluation linguistique de la langue française, d'accompagnement et de suivi, propose l'action SILE (Soutien Informatique Lié à l'Emploi).</t>
  </si>
  <si>
    <t>176, rue Achard Bât D</t>
  </si>
  <si>
    <t>Bât D</t>
  </si>
  <si>
    <t>44.8712538348828</t>
  </si>
  <si>
    <t>-0.5471219312627</t>
  </si>
  <si>
    <t>dplai@clap-so.org</t>
  </si>
  <si>
    <t>Demandeurs d'emploi,Etrangers,Jeunes</t>
  </si>
  <si>
    <t>TABLETTE/Basique,ORDI/Maîtrise,INTERNET/Maîtrise,MAILS/Expert,CV/Expert,DIFFCV/Expert,ORGRECHEMPLOI/Expert,EMPLOISTORE/Maîtrise,DECLAPE/Expert,IMPOTS/Non,DROITSSOCIAUXRSACAF/Non,RETRAITE/Non,CPAM/Non,FACTURES/Non,ETATCIVIL/Non,PERMIS/Non,PHOTO/Non,IMPTROISD/Non,PAO/Non,SITEWEB/Non,CODE/Non,MOOC/Basique</t>
  </si>
  <si>
    <t>44.8712538349, -0.547121931263</t>
  </si>
  <si>
    <t>13</t>
  </si>
  <si>
    <t>CPAM de la Gironde - Europe</t>
  </si>
  <si>
    <t>Organisme de sécurité sociale (CAF, CPAM, CARSAT, MSA…)</t>
  </si>
  <si>
    <t>Public-privé</t>
  </si>
  <si>
    <t>Les principales missions de la CPAM : gérer les droits à l'assurance maladie des assurés sociaux, verser les prestations dues à chaque assuré, appliquer le plan d'action relatif à la gestion du risque en relation avec les professionnels de santé ; mettre en œuvre les campagnes de prévention, mettre en œuvre la politique d’action sanitaire et sociale par des aides individuelles aux assurés ou des aides collectives aux associations, faciliter l’accès aux droits et aux soins.</t>
  </si>
  <si>
    <t>Place de l'Europe</t>
  </si>
  <si>
    <t>44.8598419227794</t>
  </si>
  <si>
    <t>-0.579596200925825</t>
  </si>
  <si>
    <t>Du Lundi au Vendredi : 9h-17h.</t>
  </si>
  <si>
    <t>https://www.ameli.fr/gironde/</t>
  </si>
  <si>
    <t>TABLETTE/Non,ORDI/Non,INTERNET/Non,MAILS/Non,CV/Non,DIFFCV/Non,ORGRECHEMPLOI/Non,EMPLOISTORE/Non,DECLAPE/Non,IMPOTS/Non,DROITSSOCIAUXRSACAF/Non,RETRAITE/Non,CPAM/Expert,FACTURES/Non,ETATCIVIL/Non,PERMIS/Non,PHOTO/Non,IMPTROISD/Non,PAO/Non,SITEWEB/Non,CODE/Non,MOOC/Non</t>
  </si>
  <si>
    <t>44.8598419228, -0.579596200926</t>
  </si>
  <si>
    <t>15</t>
  </si>
  <si>
    <t>GP Inten6t</t>
  </si>
  <si>
    <t>Centre Social et Culturel du Grand Parc : Accompagnement Social et Développement Social Local, Animation de la vie locale et action culturelle, Participation des habitants et citoyenneté, Accueil de loisirs petite enfance, enfance, Jeunesse.</t>
  </si>
  <si>
    <t>Du Lundi au Vendredi : 9h30-18h30. Fermé le Jeudi matin.</t>
  </si>
  <si>
    <t>accueil@gpinten6t.fr</t>
  </si>
  <si>
    <t>http://gpinten6t.fr/</t>
  </si>
  <si>
    <t>https://www.facebook.com/GP-Inten6t-Centre-Social-Et-Culturel-Du-Grand-Parc-486862171457017/</t>
  </si>
  <si>
    <t>Mo-Fr 09:30-18:30; Th 14:00-18:30</t>
  </si>
  <si>
    <t>TABLETTE/Maîtrise,ORDI/Maîtrise,INTERNET/Basique,MAILS/Basique,CV/Basique,DIFFCV/Basique,ORGRECHEMPLOI/Basique,EMPLOISTORE/Non,DECLAPE/Basique,IMPOTS/Basique,DROITSSOCIAUXRSACAF/Maîtrise,RETRAITE/Non,CPAM/Basique,FACTURES/Basique,ETATCIVIL/Basique,PERMIS/Basique,PHOTO/Non,IMPTROISD/Non,PAO/Non,SITEWEB/Non,CODE/Non,MOOC/Non</t>
  </si>
  <si>
    <t>16</t>
  </si>
  <si>
    <t>Maison de l'emploi de Bordeaux</t>
  </si>
  <si>
    <t>Créée à l’initiative de la Ville de Bordeaux, de l’Etat et de Pôle Emploi, la Maison de l’Emploi de Bordeaux agit pour l’accès à l’emploi, la création d’entreprise et le développement économique.</t>
  </si>
  <si>
    <t>127 avenue Emile Counord</t>
  </si>
  <si>
    <t>Avenue Emile Counord</t>
  </si>
  <si>
    <t>44.860192189202</t>
  </si>
  <si>
    <t>-0.575155274726418</t>
  </si>
  <si>
    <t>Du Lundi au Vendredi : 9h-12h30/13h30-17h30.</t>
  </si>
  <si>
    <t>contact@maison-emploi-bordeaux.fr</t>
  </si>
  <si>
    <t>https://www.emploi-bordeaux.fr/</t>
  </si>
  <si>
    <t>Mo-Fr 09:00-12:30,13:30-17:30</t>
  </si>
  <si>
    <t>TABLETTE/Non,ORDI/Non,INTERNET/Expert,MAILS/Expert,CV/Expert,DIFFCV/Expert,ORGRECHEMPLOI/Expert,EMPLOISTORE/Expert,DECLAPE/Expert,IMPOTS/Non,DROITSSOCIAUXRSACAF/Basique,RETRAITE/Non,CPAM/Non,FACTURES/Non,ETATCIVIL/Non,PERMIS/Non,PHOTO/Non,IMPTROISD/Non,PAO/Non,SITEWEB/Non,CODE/Non,MOOC/Non</t>
  </si>
  <si>
    <t>44.8601921892, -0.575155274726</t>
  </si>
  <si>
    <t>18</t>
  </si>
  <si>
    <t>CAIO</t>
  </si>
  <si>
    <t>Le Centre d'accueil, d'information et d'orientation (CAIO) a pour but d'accueillir, d'informer et d'orienter les personnes les plus en difficultés et de les accompagner dans la recherche d'un hébergement et d'un logement autonome, et d'un emploi stable.</t>
  </si>
  <si>
    <t>7 rue Ausone</t>
  </si>
  <si>
    <t>La Bagagerie</t>
  </si>
  <si>
    <t>44.8383939284361</t>
  </si>
  <si>
    <t>-0.568611215892525</t>
  </si>
  <si>
    <t>Lundis, Jeudis et Vendredis : 14h-17h.</t>
  </si>
  <si>
    <t>bagagerienumerique@caio-bordeaux.fr</t>
  </si>
  <si>
    <t>https://www.caio-bordeaux.com/</t>
  </si>
  <si>
    <t>Mo-Fr 14:00-17:00; Tu,We off</t>
  </si>
  <si>
    <t>TABLETTE/Maîtrise,ORDI/Maîtrise,INTERNET/Maîtrise,MAILS/Maîtrise,CV/Basique,DIFFCV/Basique,ORGRECHEMPLOI/Basique,EMPLOISTORE/Basique,DECLAPE/Maîtrise,IMPOTS/Maîtrise,DROITSSOCIAUXRSACAF/Maîtrise,RETRAITE/Maîtrise,CPAM/Maîtrise,FACTURES/Basique,ETATCIVIL/Maîtrise,PERMIS/Basique,PHOTO/Non,IMPTROISD/Non,PAO/Non,SITEWEB/Non,CODE/Non,MOOC/Non</t>
  </si>
  <si>
    <t>44.8383939284, -0.568611215893</t>
  </si>
  <si>
    <t>20</t>
  </si>
  <si>
    <t>Centre d'animation Saint Pierre</t>
  </si>
  <si>
    <t>Le centre d'animation Saint-Pierre fait partie de l'association Centres d'animation Bordeaux est ouvert à tous et à vocation sociale, familiale, et culturelle. Il s'adresse aux habitants du quartier, associations, partenaires et acteurs qui partagent les mêmes valeurs : respect, hospitalité, citoyenneté, responsabilité et le principe de laïcité.</t>
  </si>
  <si>
    <t>4 rue du Mulet</t>
  </si>
  <si>
    <t>Rue du Mulet</t>
  </si>
  <si>
    <t>44.8395865762102</t>
  </si>
  <si>
    <t>-0.572861035491858</t>
  </si>
  <si>
    <t>Mardi et Mercredi : 9h-12h30/14h-19h, Jeudi : 10h-12h30/14h-18h(uniquement le matin si ouverture le samedi 1er du mois) Vendredi: 14-18h. 1er Samedi du mois: 14h-18h (hors vacances scolaires).</t>
  </si>
  <si>
    <t>saintpierre@cabordeaux.fr</t>
  </si>
  <si>
    <t>https://centresanimationbordeaux.fr/saint-pierre/</t>
  </si>
  <si>
    <t>Tu,We 09:00-12:30,14:00-19:00; Th 10:00-12:30,14:00-18:00; Fr 14:00-18:00</t>
  </si>
  <si>
    <t>TABLETTE/Maîtrise,ORDI/Expert,INTERNET/Maîtrise,MAILS/Maîtrise,CV/Non,DIFFCV/Non,ORGRECHEMPLOI/Non,EMPLOISTORE/Non,DECLAPE/Basique,IMPOTS/Maîtrise,DROITSSOCIAUXRSACAF/Basique,RETRAITE/Non,CPAM/Maîtrise,FACTURES/Basique,ETATCIVIL/Basique,PERMIS/Basique,PHOTO/Expert,IMPTROISD/Maîtrise,PAO/Expert,SITEWEB/Expert,CODE/Basique,MOOC/Maîtrise</t>
  </si>
  <si>
    <t>44.8395865762, -0.572861035492</t>
  </si>
  <si>
    <t>28</t>
  </si>
  <si>
    <t>Astrolab’</t>
  </si>
  <si>
    <t>Astrolab’, association créée en 1996, est agréée Espace de vie sociale et d’éducation populaire.Implantée sur le territoire de Bordeaux Sud, c’est un équipement plurigénérationnel qui s’adresse aux enfants, aux adolescents, aux adultes et aux familles. Les actions de l’association se developpent autour de : - l’accompagnement scolaire, élémentaire 1 et secondaire, - un centre de loisirs enfants &amp; adolescents, - un accompagnement des initiatives des habitants, - la participation à la vie associative locale du territoire.</t>
  </si>
  <si>
    <t>40 rue Laffiteau</t>
  </si>
  <si>
    <t>Cours de l'Yser</t>
  </si>
  <si>
    <t>44.8246991659039</t>
  </si>
  <si>
    <t>-0.551960065362746</t>
  </si>
  <si>
    <t>Vendredi : 14h-16h</t>
  </si>
  <si>
    <t>https://astrolabelcier.fr/</t>
  </si>
  <si>
    <t>https://www.facebook.com/Astrolabelcier</t>
  </si>
  <si>
    <t>Fr 14:00-16:00</t>
  </si>
  <si>
    <t>TABLETTE/Maîtrise,ORDI/Maîtrise,INTERNET/Maîtrise,MAILS/Maîtrise,CV/Basique,DIFFCV/Basique,ORGRECHEMPLOI/Basique,EMPLOISTORE/Non,DECLAPE/Basique,IMPOTS/Basique,DROITSSOCIAUXRSACAF/Basique,RETRAITE/Non,CPAM/Basique,FACTURES/Non,ETATCIVIL/Non,PERMIS/Non,PHOTO/Basique,IMPTROISD/Non,PAO/Basique,SITEWEB/Non,CODE/Non,MOOC/Non</t>
  </si>
  <si>
    <t>44.8246991659, -0.551960065363</t>
  </si>
  <si>
    <t>30</t>
  </si>
  <si>
    <t>Bibliothèque Jean de la Ville de Mirmont</t>
  </si>
  <si>
    <t>Au cœur du " village Saint Augustin ", la nouvelle bibliothèque du quartier vous propose des collections riches et variées (albums, romans, BD, films, presse...), offrant désormais une place de choix à la musique (3000 CD) et aux nouvelles technologies (salle multimédia, tablettes, jeux vidéo...) dans une ambiance chaleureuse.</t>
  </si>
  <si>
    <t>Place de l'Eglise Saint-Augustin</t>
  </si>
  <si>
    <t>Place de l'Eglise Saint Augustin</t>
  </si>
  <si>
    <t>44.8321917073071</t>
  </si>
  <si>
    <t>-0.610899292845509</t>
  </si>
  <si>
    <t>TABLETTE/Expert,ORDI/Expert,INTERNET/Expert,MAILS/Expert,CV/Maîtrise,DIFFCV/Expert,ORGRECHEMPLOI/Basique,EMPLOISTORE/Expert,DECLAPE/Basique,IMPOTS/Basique,DROITSSOCIAUXRSACAF/Basique,RETRAITE/Basique,CPAM/Basique,FACTURES/Basique,ETATCIVIL/Basique,PERMIS/Basique,PHOTO/Expert,IMPTROISD/Non,PAO/Maîtrise,SITEWEB/Expert,CODE/Expert,MOOC/Expert</t>
  </si>
  <si>
    <t>44.8321917073, -0.610899292846</t>
  </si>
  <si>
    <t>31</t>
  </si>
  <si>
    <t>UNADEV (Union Nationale des Aveugles et Déficients Visuels)</t>
  </si>
  <si>
    <t>L'Union Nationale des Aveugles et Déficients Visuels (UNADEV) créée en 1929 à Bordeaux est une association reconnue d'assistance et de bienfaisance. Nos actions portent sur trois missions : Accompagner et aider les personnes déficientes visuelles pour leur insertion sociale et professionnelle ; Sensibiliser et informer le grand public et les décideurs ; Soutenir la recherche médicale et la prévention des maladies cécitantes.</t>
  </si>
  <si>
    <t>12 rue de Cursol</t>
  </si>
  <si>
    <t>Rue de Cursol</t>
  </si>
  <si>
    <t>44.8349144689267</t>
  </si>
  <si>
    <t>-0.576043795226171</t>
  </si>
  <si>
    <t>Lundi au Vendredi : 9h-17h30.</t>
  </si>
  <si>
    <t>unadev@unadev.com</t>
  </si>
  <si>
    <t>https://www.unadev.com</t>
  </si>
  <si>
    <t>https://www.facebook.com/unadevfrance/</t>
  </si>
  <si>
    <t>Mo-Fr 09:00-17:30</t>
  </si>
  <si>
    <t>TABLETTE/Expert,ORDI/Expert,INTERNET/Expert,MAILS/Expert,CV/Non,DIFFCV/Non,ORGRECHEMPLOI/Non,EMPLOISTORE/Non,DECLAPE/Non,IMPOTS/Non,DROITSSOCIAUXRSACAF/Expert,RETRAITE/Maîtrise,CPAM/Expert,FACTURES/Maîtrise,ETATCIVIL/Expert,PERMIS/Non,PHOTO/Basique,IMPTROISD/Basique,PAO/Basique,SITEWEB/Non,CODE/Non,MOOC/Basique</t>
  </si>
  <si>
    <t>44.8349144689, -0.576043795226</t>
  </si>
  <si>
    <t>32</t>
  </si>
  <si>
    <t>CPAM de la Gironde - Pelleport</t>
  </si>
  <si>
    <t>232 Rue Pelleport</t>
  </si>
  <si>
    <t>Rue Pelleport</t>
  </si>
  <si>
    <t>44.8205132178248</t>
  </si>
  <si>
    <t>-0.568085077455168</t>
  </si>
  <si>
    <t>Du Lundi au Vendredi : 09h-17h.</t>
  </si>
  <si>
    <t>44.8205132178, -0.568085077455</t>
  </si>
  <si>
    <t>36</t>
  </si>
  <si>
    <t>FAits de Coeur’S</t>
  </si>
  <si>
    <t>Lutte contre l’isolement des seniors.</t>
  </si>
  <si>
    <t>45 rue Son Tay</t>
  </si>
  <si>
    <t>Rue de Son Tay</t>
  </si>
  <si>
    <t>44.8250662993679</t>
  </si>
  <si>
    <t>-0.551851435413458</t>
  </si>
  <si>
    <t>Selon planning disponible sur notre site.</t>
  </si>
  <si>
    <t>faitsdecoeur.s@gmail.com</t>
  </si>
  <si>
    <t>https://www.faitsdecoeurs.org/</t>
  </si>
  <si>
    <t>https://fr-fr.facebook.com/FAits-de-CoeurS-1603332716546381/</t>
  </si>
  <si>
    <t>TABLETTE/Basique,ORDI/Basique,INTERNET/Basique,MAILS/Basique,CV/Non,DIFFCV/Non,ORGRECHEMPLOI/Non,EMPLOISTORE/Non,DECLAPE/Non,IMPOTS/Non,DROITSSOCIAUXRSACAF/Non,RETRAITE/Non,CPAM/Non,FACTURES/Non,ETATCIVIL/Non,PERMIS/Non,PHOTO/Basique,IMPTROISD/Non,PAO/Basique,SITEWEB/Non,CODE/Non,MOOC/Basique</t>
  </si>
  <si>
    <t>44.8250662994, -0.551851435413</t>
  </si>
  <si>
    <t>37</t>
  </si>
  <si>
    <t>La Halle des Douves</t>
  </si>
  <si>
    <t>L'association Halle des Douves a en charge l'animation et la programmation du marché des Douves, maison de vie associative et des habitants. L'association compte environ 180 à 200 associations adhérentes, une soixantaine de particuliers et un millier d'adhérents à son café associatif.</t>
  </si>
  <si>
    <t>4 bis rue des Douves</t>
  </si>
  <si>
    <t>4bis</t>
  </si>
  <si>
    <t>Rue des Douves</t>
  </si>
  <si>
    <t>44.8306264205286</t>
  </si>
  <si>
    <t>-0.566204732923668</t>
  </si>
  <si>
    <t>Du Mercredi au Samedi : 10h-22h et le Mardi : 13h30-22h.</t>
  </si>
  <si>
    <t>contact@douves.org</t>
  </si>
  <si>
    <t>https://www.douves.org/</t>
  </si>
  <si>
    <t>Tu 13:30-22:00; We-Sa 10:00-22:00</t>
  </si>
  <si>
    <t>TABLETTE/Basique,ORDI/Basique,INTERNET/Basique,MAILS/Basique,CV/Non,DIFFCV/Non,ORGRECHEMPLOI/Non,EMPLOISTORE/Non,DECLAPE/Non,IMPOTS/Non,DROITSSOCIAUXRSACAF/Non,RETRAITE/Non,CPAM/Non,FACTURES/Non,ETATCIVIL/Non,PERMIS/Non,PHOTO/Basique,IMPTROISD/Non,PAO/Non,SITEWEB/Non,CODE/Basique,MOOC/Non</t>
  </si>
  <si>
    <t>44.8306264205, -0.566204732924</t>
  </si>
  <si>
    <t>38</t>
  </si>
  <si>
    <t>PIMMS de Bordeaux</t>
  </si>
  <si>
    <t>Point Information Médiation Multi Services (PIMMS)</t>
  </si>
  <si>
    <t>Favoriser l’accès aux services publics et améliorer la vie quotidienne des populations en proposant à ses utilisateurs des services de type généraliste (information de premier niveau, orientation, accompagnement dans les démarches, services de proximité), des actions de prévention et de médiation visant à réduire leurs éventuelles difficultés.</t>
  </si>
  <si>
    <t>213 bis cours de la Marne</t>
  </si>
  <si>
    <t>213bis</t>
  </si>
  <si>
    <t>Cours de la Marne</t>
  </si>
  <si>
    <t>44.8275310350376</t>
  </si>
  <si>
    <t>-0.558820401540681</t>
  </si>
  <si>
    <t>Lundi, Mercredi, Jeudi,Vendredi : 9h30-12h30 / 13h30-17h.  Mardi : 14h-18h30.</t>
  </si>
  <si>
    <t>bordeaux@pimms.org</t>
  </si>
  <si>
    <t>https://www.pimmsdebordeaux.org/</t>
  </si>
  <si>
    <t>https://www.facebook.com/PIMMS-de-Bordeaux-1435073096755036/</t>
  </si>
  <si>
    <t>Mo-Fr 09:30-12:30,13:30-17:00; Tu 14:00-18:30</t>
  </si>
  <si>
    <t>TABLETTE/Maîtrise,ORDI/Maîtrise,INTERNET/Maîtrise,MAILS/Expert,CV/Basique,DIFFCV/Basique,ORGRECHEMPLOI/Basique,EMPLOISTORE/Basique,DECLAPE/Expert,IMPOTS/Basique,DROITSSOCIAUXRSACAF/Expert,RETRAITE/Basique,CPAM/Expert,FACTURES/Expert,ETATCIVIL/Expert,PERMIS/Expert,PHOTO/Non,IMPTROISD/Non,PAO/Non,SITEWEB/Non,CODE/Non,MOOC/Non</t>
  </si>
  <si>
    <t>44.827531035, -0.558820401541</t>
  </si>
  <si>
    <t>40</t>
  </si>
  <si>
    <t>Sesame</t>
  </si>
  <si>
    <t>Espace Public Numérique (EPN)</t>
  </si>
  <si>
    <t>Bordeaux Métropole</t>
  </si>
  <si>
    <t>L'espace de médiation est un service d'accompagnement au numérique pour le grand public. Il propose : de fournir ponctuellement des moyens d'accès à Internet et d'utilisation de logiciels, d'accompagner le grand public dans l'acquisition de compétences informatiques de base, de sensibiliser aux risques et aux responsabilités dans l'utilisation du numérique et à une utilisation raisonnée et responsable d'Internet.</t>
  </si>
  <si>
    <t>13 place Canteloup</t>
  </si>
  <si>
    <t>Place Canteloup</t>
  </si>
  <si>
    <t>44.8337909140404</t>
  </si>
  <si>
    <t>-0.565754451572799</t>
  </si>
  <si>
    <t>Du Lundi au Jeudi : 9h-12h/13h-17h30, Vendredi : 9h-12h. Fermé en aout.</t>
  </si>
  <si>
    <t>sesame@bordeaux-metropole.fr</t>
  </si>
  <si>
    <t>http://www.bordeaux.fr/o383/sesame</t>
  </si>
  <si>
    <t>Mo-Th 09:00-12:00,13:00-17:30; Fr 09:00-12:00; Aug Mo-Fr off</t>
  </si>
  <si>
    <t>TABLETTE/Expert,ORDI/Expert,INTERNET/Expert,MAILS/Expert,CV/Maîtrise,DIFFCV/Basique,ORGRECHEMPLOI/Non,EMPLOISTORE/Non,DECLAPE/Basique,IMPOTS/Basique,DROITSSOCIAUXRSACAF/Basique,RETRAITE/Non,CPAM/Basique,FACTURES/Basique,ETATCIVIL/Basique,PERMIS/Basique,PHOTO/Expert,IMPTROISD/Maîtrise,PAO/Expert,SITEWEB/Expert,CODE/Non,MOOC/Maîtrise</t>
  </si>
  <si>
    <t>44.833790914, -0.565754451573</t>
  </si>
  <si>
    <t>41</t>
  </si>
  <si>
    <t>Bibliothèque La Bastide</t>
  </si>
  <si>
    <t>C'est la bibliothèque de référence sur la rive droite, dans un quartier en pleine mutation.Elle chouchoute les tout petits, les collégiens... et les mélomanes. La bibliothèque met à votre disposition livres, DVD, revues, mais aussi un beau fonds de CD musicaux et six postes Internet. Les collégiens du quartier sont accueillis à des tables de travail et guidés dans leurs recherches.</t>
  </si>
  <si>
    <t>18-22 rue Alexander Fleming</t>
  </si>
  <si>
    <t>Rue Alexander Fleming</t>
  </si>
  <si>
    <t>44.8441359166854</t>
  </si>
  <si>
    <t>-0.542196720968236</t>
  </si>
  <si>
    <t>44.8441359167, -0.542196720968</t>
  </si>
  <si>
    <t>47</t>
  </si>
  <si>
    <t>Centre socioculturel Danielle Mitterrand / MSAP</t>
  </si>
  <si>
    <t>Maison de Service au Public (MSAP)</t>
  </si>
  <si>
    <t>Le centre socioculturel propose aux habitants un lieu dédié à l’accueil des administrés. L’objectif est d’accueillir l’ensemble de la population et de proposer un accompagnement aux démarches et à l’accès aux droits au travers d’un accueil bienveillant et individualisé (démarches administratives en particulier des partenaires de la MSAP, une information fiable et claire, accompagner les habitants vers l’autonomie, en particulier pour ce qui concerne les démarches dématérialisées).</t>
  </si>
  <si>
    <t>1 rue Louis Massina</t>
  </si>
  <si>
    <t>Rue Louis Massina</t>
  </si>
  <si>
    <t>44.9277930802108</t>
  </si>
  <si>
    <t>-0.488512977996998</t>
  </si>
  <si>
    <t>Lundi : 9h30-12h30/14h-19h. Mardi : 9h30-12h30/14h-17h. Mercredi : 9h30-12h30/14h-18h. Jeudi : 8h30-12h30/14h-17h. Vendredi : 14h-18h.</t>
  </si>
  <si>
    <t>contact.csc@ville-ambaresetlagrave.fr</t>
  </si>
  <si>
    <t>Mo 09:30-12:30,14:00-19:00; Tu 09:30-12:30,14:00-17:00; We 09:30-12:30,14:00-18:00; Th 08:30-12:30,14:00-17:00; Fr 14:00-18:00</t>
  </si>
  <si>
    <t>TABLETTE/Maîtrise,ORDI/Maîtrise,INTERNET/Expert,MAILS/Expert,CV/Basique,DIFFCV/Basique,ORGRECHEMPLOI/Basique,EMPLOISTORE/Maîtrise,DECLAPE/Expert,IMPOTS/Basique,DROITSSOCIAUXRSACAF/Expert,RETRAITE/Maîtrise,CPAM/Maîtrise,FACTURES/Basique,ETATCIVIL/Expert,PERMIS/Expert,PHOTO/Basique,IMPTROISD/Non,PAO/Maîtrise,SITEWEB/Non,CODE/Non,MOOC/Basique</t>
  </si>
  <si>
    <t>France Services,Point relais CAF</t>
  </si>
  <si>
    <t>44.9277930802, -0.488512977997</t>
  </si>
  <si>
    <t>48</t>
  </si>
  <si>
    <t>Pôle Culturel Evasion</t>
  </si>
  <si>
    <t>Mairie de Ambarès-et-Lagrave</t>
  </si>
  <si>
    <t>Equipement culturel de proximité de la ville d'Ambarès-et-Lagrave, le Pôle Culturel Evasion a pour vocation la transmission des pratiques artistiques et la découverte de formes innovantes. L'objectif est de mettre en œuvre une action cohérente dédiée aux enjeux de la rencontre entre professionnels et amateurs, entre artistes et populations. Fort d’une expérience autour d’une Mission FEDER numérique Axe 2, de plusieurs actions menées dans le cadre d’appels à projets le Pôle Culturel a développé au fil des années des compétences autour du numérique.</t>
  </si>
  <si>
    <t>place de la République</t>
  </si>
  <si>
    <t>44.9264558802494</t>
  </si>
  <si>
    <t>-0.488479333307143</t>
  </si>
  <si>
    <t>Mardi : 18h-21h. Vendredi : 10h-12h.Samedi : 10h-13h.</t>
  </si>
  <si>
    <t>contact.culture@ville-ambaresetlagrave.fr</t>
  </si>
  <si>
    <t>https://evasion.ville-ambaresetlagrave.fr/</t>
  </si>
  <si>
    <t>https://www.facebook.com/pole.culturel.evasion</t>
  </si>
  <si>
    <t>Tu 18:00-21:00; Fr 10:00-12:00; Sa 10:00-13:00</t>
  </si>
  <si>
    <t>TABLETTE/Maîtrise,ORDI/Maîtrise,INTERNET/Maîtrise,MAILS/Maîtrise,CV/Non,DIFFCV/Basique,ORGRECHEMPLOI/Non,EMPLOISTORE/Non,DECLAPE/Non,IMPOTS/Non,DROITSSOCIAUXRSACAF/Non,RETRAITE/Non,CPAM/Non,FACTURES/Non,ETATCIVIL/Non,PERMIS/Non,PHOTO/Maîtrise,IMPTROISD/Non,PAO/Maîtrise,SITEWEB/Basique,CODE/Basique,MOOC/Maîtrise</t>
  </si>
  <si>
    <t>44.9264558802, -0.488479333307</t>
  </si>
  <si>
    <t>52</t>
  </si>
  <si>
    <t>Médiathèque municipale de Bassens</t>
  </si>
  <si>
    <t>Mairie de Bassens</t>
  </si>
  <si>
    <t>La médiathèque propose des ateliers d'initiation aux usages du numérique., une aide et un accompagnement à l’équipement numérique, un accès libre et gratuit soumis à inscription à la médiathèque.</t>
  </si>
  <si>
    <t>rue 8 mai 1945</t>
  </si>
  <si>
    <t>Bassens</t>
  </si>
  <si>
    <t>44.8996031552278</t>
  </si>
  <si>
    <t>-0.516190784702733</t>
  </si>
  <si>
    <t>Médiathèque: Mardi : 14h-18h. Mercredi : 10h-12h/14h-18h. Vendredi : 10h-12h/14h-19h. Samedi : 10h-12h/14h-17h. EPN : Mardi : 16h-18h. Mercredi : 10h-12h (sur RV uniquement)/14h-18h. Vendredi : 10h-12h (accueil avec agents du CCAS pour leurs bènèficiaires) /14h-17h. Samedi : 10h-12h. Ateliers initiation le Mardi : 14h-16h et le Vendredi : 17h-19h (sur inscription)</t>
  </si>
  <si>
    <t>mediatheque@ville-bassens.fr</t>
  </si>
  <si>
    <t>https://mediatheque.ville-bassens.fr</t>
  </si>
  <si>
    <t>Tu 14:00-18:00; We 10:00-12:00,14:00-18:00; Fr 10:00-12:00,14:00-19:00; Sa 10:00-12:00,14:00-17:00</t>
  </si>
  <si>
    <t>TABLETTE/Maîtrise,ORDI/Expert,INTERNET/Maîtrise,MAILS/Maîtrise,CV/Basique,DIFFCV/Basique,ORGRECHEMPLOI/Basique,EMPLOISTORE/Non,DECLAPE/Basique,IMPOTS/Maîtrise,DROITSSOCIAUXRSACAF/Basique,RETRAITE/Basique,CPAM/Basique,FACTURES/Basique,ETATCIVIL/Maîtrise,PERMIS/Maîtrise,PHOTO/Expert,IMPTROISD/Non,PAO/Non,SITEWEB/Maîtrise,CODE/Basique,MOOC/Non</t>
  </si>
  <si>
    <t>44.8996031552, -0.516190784703</t>
  </si>
  <si>
    <t>54</t>
  </si>
  <si>
    <t>Médiathèque de Carbon-Blanc</t>
  </si>
  <si>
    <t>Mairie de Carbon-Blanc</t>
  </si>
  <si>
    <t>La médiathèque de Carbon-Blanc dispose de 5 postes informatiques à destination des publics, accessibles gratuitement pour les inscrits à la médiathèque (inscription gratuite). Pour les mineurs, la consultation est soumise àl’autorisation parentale. Le public a accès à Internet, à des outils de bureautiques ainsi que des ressources en ligne. Les personnes peuvent être accompagnées dans leurs recherches par un bibliothécaire sur demande.</t>
  </si>
  <si>
    <t>17 Avenue Vignau Anglade BP 30</t>
  </si>
  <si>
    <t>Avenue André Vignau Anglade</t>
  </si>
  <si>
    <t>BP 30</t>
  </si>
  <si>
    <t>44.8958988624813</t>
  </si>
  <si>
    <t>-0.514769766938758</t>
  </si>
  <si>
    <t>La médiathèque est ouverte du mardi au samedi. Pour consulter les horaires veuillez vous rendre sur le site de la ville : www.carbon-blanc.fr.</t>
  </si>
  <si>
    <t>mediatheque@carbon-blanc.fr</t>
  </si>
  <si>
    <t>http://www.mediatheque-carbon-blanc.fr</t>
  </si>
  <si>
    <t>Tu-Fr 14:30-18:30; We,Sa 10:30-12:30,14:30-18:30</t>
  </si>
  <si>
    <t>TABLETTE/Basique,ORDI/Maîtrise,INTERNET/Maîtrise,MAILS/Maîtrise,CV/Maîtrise,DIFFCV/Maîtrise,ORGRECHEMPLOI/Maîtrise,EMPLOISTORE/Basique,DECLAPE/Basique,IMPOTS/Basique,DROITSSOCIAUXRSACAF/Basique,RETRAITE/Basique,CPAM/Basique,FACTURES/Basique,ETATCIVIL/Basique,PERMIS/Basique,PHOTO/Maîtrise,IMPTROISD/Expert,PAO/Maîtrise,SITEWEB/Maîtrise,CODE/Maîtrise,MOOC/Maîtrise</t>
  </si>
  <si>
    <t>44.8958988625, -0.514769766939</t>
  </si>
  <si>
    <t>55</t>
  </si>
  <si>
    <t>Centre social et culturel La Colline</t>
  </si>
  <si>
    <t>Le centre social et culturel est une association qui propose des actions en direction des familles, des enfants, des jeunes et des adultes. Ses trois axes de travail sont : l’épanouissement individuel et collectif (Cours de français, accompagnement aux vacances, accompagnement social, soirées, sorties ), l'accès à la culture (spectacles, concerts, festival, découverte des métiers culturels&amp; ), l'accès au numérique (ateliers, utilisation des outils (ordinateurs, tablettes, smartphone), utilisation des plateformes administratives).</t>
  </si>
  <si>
    <t>2 rue Stéphane Mallarmé</t>
  </si>
  <si>
    <t>Rue Stéphane Mallarme</t>
  </si>
  <si>
    <t>44.856408823067</t>
  </si>
  <si>
    <t>-0.520666850365824</t>
  </si>
  <si>
    <t>info@csc-lacolline.com</t>
  </si>
  <si>
    <t>http://csc-lacolline.com/</t>
  </si>
  <si>
    <t>https://www.facebook.com/lacollinecsc</t>
  </si>
  <si>
    <t>TABLETTE/Basique,ORDI/Maîtrise,INTERNET/Maîtrise,MAILS/Maîtrise,CV/Basique,DIFFCV/Basique,ORGRECHEMPLOI/Non,EMPLOISTORE/Basique,DECLAPE/Basique,IMPOTS/Basique,DROITSSOCIAUXRSACAF/Maîtrise,RETRAITE/Basique,CPAM/Basique,FACTURES/Basique,ETATCIVIL/Basique,PERMIS/Non,PHOTO/Basique,IMPTROISD/Non,PAO/Non,SITEWEB/Non,CODE/Non,MOOC/Non</t>
  </si>
  <si>
    <t>44.8564088231, -0.520666850366</t>
  </si>
  <si>
    <t>57</t>
  </si>
  <si>
    <t>PIMMS de Cenon</t>
  </si>
  <si>
    <t>Faciliter l’accès des populations aux services publics et aux droits sociaux. Généraliste sur son territoire, le PIMMS développe une activité multiservices. Ainsi, le PIMMS œuvre à l'accessibilité des habitants aux services nécessaires à la vie courante, en relayant, facilitant la compréhension, en complétant l'offre de services de ses partenaires et en proposant des services de type généraliste (information de premier niveau,...).  Notamment, Il offre un accès à Internet et accompagne dans l’utilisation des services publics distants via les portails numériques des opérateurs de services.</t>
  </si>
  <si>
    <t>89 avenue Jean Jaurès</t>
  </si>
  <si>
    <t>Avenue Jean Jaurès</t>
  </si>
  <si>
    <t>44.8570117421531</t>
  </si>
  <si>
    <t>-0.532118545204031</t>
  </si>
  <si>
    <t>Lundi, mercredi Vendredi 9h/12h30-13h30/17h   Mardi et Jeudiè13h30/17h</t>
  </si>
  <si>
    <t>cenon@pimms.org</t>
  </si>
  <si>
    <t>https://www.pimms.org/</t>
  </si>
  <si>
    <t>https://fr-fr.facebook.com/pimmsdecenon33150/</t>
  </si>
  <si>
    <t>Lundi, mercredi Vendredi 9h/12h30-13h30/17h   Mardi et Jeudi 13h30/17h</t>
  </si>
  <si>
    <t>Mo-Fr 09:00-12:30,13:30-17:00; Tu,Th 13:30-17:00</t>
  </si>
  <si>
    <t>TABLETTE/Non,ORDI/Non,INTERNET/Basique,MAILS/Basique,CV/Non,DIFFCV/Non,ORGRECHEMPLOI/Non,EMPLOISTORE/Non,DECLAPE/Basique,IMPOTS/Non,DROITSSOCIAUXRSACAF/Basique,RETRAITE/Basique,CPAM/Basique,FACTURES/Basique,ETATCIVIL/Basique,PERMIS/Non,PHOTO/Non,IMPTROISD/Non,PAO/Non,SITEWEB/Non,CODE/Non,MOOC/Non</t>
  </si>
  <si>
    <t>44.8570117422, -0.532118545204</t>
  </si>
  <si>
    <t>58</t>
  </si>
  <si>
    <t>Rocher de Palmer I Musiques de Nuit Diffusion</t>
  </si>
  <si>
    <t>Le Forum du Rocher, c'est une boite à outils geéante et des espaces au sein du Rocher de Palmer où l’on vient se former, travailler, echanger, s’enregistrer et/ou structurer son parcours professionnel dans le secteur des industries culturelles et creatives. Il s'adresse aux personnes en recherche d’emploi, porteurs de projets, habitants en quartier prioritaire, ètudiants et propose : une formation numèrique (2 mois), un espace coworking, des ateliers de 2 jours (numèrique), un studio de captation numèrique et une pèpinière d’entreprise culturelle.</t>
  </si>
  <si>
    <t>1 rue Aristide Briand</t>
  </si>
  <si>
    <t>44.8621455642501</t>
  </si>
  <si>
    <t>-0.52400296271831</t>
  </si>
  <si>
    <t>Du Lundi au Vendredi 9h30-18h.</t>
  </si>
  <si>
    <t>forum@rocherdepalmer.fr</t>
  </si>
  <si>
    <t>https://lerocherdepalmer.fr/forum/</t>
  </si>
  <si>
    <t>https://www.facebook.com/forumdurocher</t>
  </si>
  <si>
    <t>Mo-Fr 09:30-18:00</t>
  </si>
  <si>
    <t>Allocataires,Jeunes,Personnes en situation de handicap</t>
  </si>
  <si>
    <t>TABLETTE/Non,ORDI/Non,INTERNET/Non,MAILS/Non,CV/Non,DIFFCV/Non,ORGRECHEMPLOI/Basique,EMPLOISTORE/Non,DECLAPE/Non,IMPOTS/Non,DROITSSOCIAUXRSACAF/Non,RETRAITE/Non,CPAM/Non,FACTURES/Non,ETATCIVIL/Non,PERMIS/Non,PHOTO/Maîtrise,IMPTROISD/Non,PAO/Maîtrise,SITEWEB/Basique,CODE/Non,MOOC/Non</t>
  </si>
  <si>
    <t>44.8621455643, -0.524002962718</t>
  </si>
  <si>
    <t>67</t>
  </si>
  <si>
    <t>DEFI</t>
  </si>
  <si>
    <t>L’association DEFI a été créée en 1994. Son objectif est « d’aider toutes les personnes exclues à défendre et accéder à leurs droits, mais aussi de les aider à s’insérer à tous les niveaux de leur vie citoyenne par une action d’information, de formation et par un soutien tout au long de leur démarche d’insertion ». Nos actions pour y répondre, la Médiation Sociale, l’accession à la citoyenneté par la valorisation de l’alphabétisation, Français Langue Étrangère et Seconde, la participation active et citoyenne des habitants et plus particulièrement des femmes, dans la vie de la cité et les ateliers de formation aux usages et savoirs de base du numérique dans le cadre du programme Quartiers Numériques.</t>
  </si>
  <si>
    <t>18 Rue Henri DUNANT esplanade Saint-Hilaire</t>
  </si>
  <si>
    <t>Rue Henri Dunant</t>
  </si>
  <si>
    <t>esplanade Saint-Hilaire</t>
  </si>
  <si>
    <t>44.8714835662089</t>
  </si>
  <si>
    <t>-0.51433540137424</t>
  </si>
  <si>
    <t>Du Lundi au Vendredi : 9h-16h.</t>
  </si>
  <si>
    <t>defi.asso.lormont@orange.fr</t>
  </si>
  <si>
    <t>Mo-Fr 09:00-16:00</t>
  </si>
  <si>
    <t>TABLETTE/Expert,ORDI/Expert,INTERNET/Expert,MAILS/Expert,CV/Maîtrise,DIFFCV/Maîtrise,ORGRECHEMPLOI/Maîtrise,EMPLOISTORE/Maîtrise,DECLAPE/Maîtrise,IMPOTS/Maîtrise,DROITSSOCIAUXRSACAF/Maîtrise,RETRAITE/Maîtrise,CPAM/Maîtrise,FACTURES/Maîtrise,ETATCIVIL/Maîtrise,PERMIS/Maîtrise,PHOTO/Maîtrise,IMPTROISD/Non,PAO/Expert,SITEWEB/Non,CODE/Non,MOOC/Expert</t>
  </si>
  <si>
    <t>APTIC,Quartiers numériques</t>
  </si>
  <si>
    <t>44.8714835662, -0.514335401374</t>
  </si>
  <si>
    <t>77</t>
  </si>
  <si>
    <t>Mediatheque Jean Vautrin</t>
  </si>
  <si>
    <t>Mairie de Gradignan</t>
  </si>
  <si>
    <t>Accompagnement individuel pour les démarches administratives. Accompagnement individuel pour de l'aide sur PC ou smartphone. Ateliers collectifs du mardi au vendredi. Espace jeu vidéo</t>
  </si>
  <si>
    <t>32 route de léognan</t>
  </si>
  <si>
    <t>Route de Léognan</t>
  </si>
  <si>
    <t>44.7680067313461</t>
  </si>
  <si>
    <t>-0.611460715625453</t>
  </si>
  <si>
    <t>Mardi : 14h- 20h. Mercredi et Samedi: 10h – 18h. Jeudi et Vendredi : 14h – 18h.</t>
  </si>
  <si>
    <t>lamediatheque@ville-gradignan.fr</t>
  </si>
  <si>
    <t>http://www.lamediathequedegradignan.fr</t>
  </si>
  <si>
    <t>Tu 14:00-20:00; We,Sa 10:00-18:00; Th,Fr 14:00-18:00</t>
  </si>
  <si>
    <t>TABLETTE/Expert,ORDI/Expert,INTERNET/Expert,MAILS/Expert,CV/Maîtrise,DIFFCV/Maîtrise,ORGRECHEMPLOI/Basique,EMPLOISTORE/Basique,DECLAPE/Maîtrise,IMPOTS/Maîtrise,DROITSSOCIAUXRSACAF/Maîtrise,RETRAITE/Basique,CPAM/Basique,FACTURES/Maîtrise,ETATCIVIL/Maîtrise,PERMIS/Maîtrise,PHOTO/Basique,IMPTROISD/Basique,PAO/Basique,SITEWEB/Non,CODE/Non,MOOC/Non</t>
  </si>
  <si>
    <t>44.7680067313, -0.611460715625</t>
  </si>
  <si>
    <t>81</t>
  </si>
  <si>
    <t>EPI'SOL Pessac</t>
  </si>
  <si>
    <t>Atelier informatique tous les 15 jours. Poste informatique en libre service. Reconnu facilitateur CAF sur le site caf.fr</t>
  </si>
  <si>
    <t>8 place germaine tillion</t>
  </si>
  <si>
    <t>Place Germaine Tillion</t>
  </si>
  <si>
    <t>44.8052764816374</t>
  </si>
  <si>
    <t>-0.632860320910708</t>
  </si>
  <si>
    <t>Du Mardi au Vendredi : 10h-13h et 15h-19h.   Samedi : 10h-13h.  Atelier 1 Vendredi sur 2.  Permanence caf.fr le Vendredi matin.</t>
  </si>
  <si>
    <t>episolpessac@gmail.com</t>
  </si>
  <si>
    <t>https://www.episolpessac.org/</t>
  </si>
  <si>
    <t>https://www.facebook.com/episolpessac/</t>
  </si>
  <si>
    <t>Tu-Fr 10:00-13:00,15:00-19:00; Sa 10:00-13:00</t>
  </si>
  <si>
    <t>TABLETTE/Basique,ORDI/Maîtrise,INTERNET/Basique,MAILS/Maîtrise,CV/Non,DIFFCV/Non,ORGRECHEMPLOI/Non,EMPLOISTORE/Non,DECLAPE/Non,IMPOTS/Non,DROITSSOCIAUXRSACAF/Basique,RETRAITE/Non,CPAM/Non,FACTURES/Non,ETATCIVIL/Non,PERMIS/Non,PHOTO/Non,IMPTROISD/Non,PAO/Non,SITEWEB/Non,CODE/Non,MOOC/Non</t>
  </si>
  <si>
    <t>44.8052764816, -0.632860320911</t>
  </si>
  <si>
    <t>82</t>
  </si>
  <si>
    <t>Espace Social et d'Animation Alain Coudert</t>
  </si>
  <si>
    <t>Centre social de Saige à Pessac, quartier prioritaire. Propose un accueil tous publics.  Le projet social de la structure est construit en 4 sous projets :  1) Accueil, Animation de la vie sociale et Cadre de vie  2) Accès aux Droits, Insertion et Parentalité (assistance numérique) 3) Alimentation, Santé &amp; Solidarité  4) Education et prévention</t>
  </si>
  <si>
    <t>68 rue de l'horloge</t>
  </si>
  <si>
    <t>Rue de l'Horloge</t>
  </si>
  <si>
    <t>44.7911631632469</t>
  </si>
  <si>
    <t>-0.628702414403621</t>
  </si>
  <si>
    <t>Lundi : 13h30-19h. Du Mardi au Vendredi : 10h30-12h30/13h30-19h.</t>
  </si>
  <si>
    <t>esaac.esf@orange.fr</t>
  </si>
  <si>
    <t>https://www.facebook.com/esaacsaige33/</t>
  </si>
  <si>
    <t>Mo 13:30-19:00; Tu-Fr 10:30-12:30,13:30-19:00</t>
  </si>
  <si>
    <t>TABLETTE/Maîtrise,ORDI/Maîtrise,INTERNET/Maîtrise,MAILS/Maîtrise,CV/Maîtrise,DIFFCV/Maîtrise,ORGRECHEMPLOI/Basique,EMPLOISTORE/Basique,DECLAPE/Maîtrise,IMPOTS/Maîtrise,DROITSSOCIAUXRSACAF/Maîtrise,RETRAITE/Basique,CPAM/Maîtrise,FACTURES/Maîtrise,ETATCIVIL/Maîtrise,PERMIS/Maîtrise,PHOTO/Non,IMPTROISD/Non,PAO/Maîtrise,SITEWEB/Non,CODE/Non,MOOC/Basique</t>
  </si>
  <si>
    <t>Point relais CAF,autre dispositif</t>
  </si>
  <si>
    <t>44.7911631632, -0.628702414404</t>
  </si>
  <si>
    <t>85</t>
  </si>
  <si>
    <t>Centre Social de Bagatelle</t>
  </si>
  <si>
    <t>Le centre social de Bagatelle accueille toutes personnes souhaitant participer à des projets, activités, événements ou en recherche de vivre ensemble. Permanences d'accès aux droits (écrivain public et CESF) et espace numérique.</t>
  </si>
  <si>
    <t>203 Route de Toulouse</t>
  </si>
  <si>
    <t>Route de Toulouse</t>
  </si>
  <si>
    <t>44.8085123457487</t>
  </si>
  <si>
    <t>-0.573962965955822</t>
  </si>
  <si>
    <t>Du Lundi au Jeudi : 9h-12h/14h-17h30. Vendredi : 9h-12h. Vendredi après-midi, Samedi et dimanche : fermé. Ces horaires correspondent à la période actuelle (COVID-19), merci de nous contacter par téléphone pour toute demande d'accès au numérique. Présence de facilitateurs numériques le Lundi 9h30-12h / et le Vendredi : 9h30-12h.</t>
  </si>
  <si>
    <t>s.socioculturel@centre-social.com</t>
  </si>
  <si>
    <t>http://www.centre-social.com/</t>
  </si>
  <si>
    <t>https://www.facebook.com/Centre-social-de-Bagatelle-1671666503071790/</t>
  </si>
  <si>
    <t>Mo-Th 09:00-12:00,14:00-17:30; Fr 09:00-12:00</t>
  </si>
  <si>
    <t>TABLETTE/Maîtrise,ORDI/Maîtrise,INTERNET/Expert,MAILS/Expert,CV/Maîtrise,DIFFCV/Maîtrise,ORGRECHEMPLOI/Maîtrise,EMPLOISTORE/Basique,DECLAPE/Maîtrise,IMPOTS/Maîtrise,DROITSSOCIAUXRSACAF/Expert,RETRAITE/Basique,CPAM/Maîtrise,FACTURES/Maîtrise,ETATCIVIL/Maîtrise,PERMIS/Basique,PHOTO/Non,IMPTROISD/Non,PAO/Basique,SITEWEB/Non,CODE/Non,MOOC/Basique</t>
  </si>
  <si>
    <t>44.8085123457, -0.573962965956</t>
  </si>
  <si>
    <t>87</t>
  </si>
  <si>
    <t>Médiathèque Castagnéra</t>
  </si>
  <si>
    <t>La Cyber-base de Talence vous accueille sur deux sites, à la médiathèque Castagnéra. Ouverte à tous les inscrits du réseau des médiathèques de la ville (inscription gratuite), la Cyber-base met à votre disposition des ordinateurs équipés de casques audio, de webcams,  d’une connexion Internet haut débit, et vous propose de larges plages dédiées à la consultation libre, en présence d’un animateur. Des ateliers multimédias ont pour objectif de vous familiariser avec les outils informatiques, et de découvrir le potentiel des ressources numériques.</t>
  </si>
  <si>
    <t>1 allée Peixotto</t>
  </si>
  <si>
    <t>Allée Peixotto</t>
  </si>
  <si>
    <t>44.8073646003272</t>
  </si>
  <si>
    <t>-0.590091761879263</t>
  </si>
  <si>
    <t>Mardi Jeud  : 14h-18h30. Mercredi : 10h30-18h30. Vendredi  : 10h30-18h30. Samedi : 10h30-18h (10h30-16h en juillet et août).</t>
  </si>
  <si>
    <t>Tu,Th 14:00-18:30; We,Fr 10:30-18:30; Sa 10:30-18:00; Jul-Aug Sa 10:30-16:00</t>
  </si>
  <si>
    <t>44.8073646003, -0.590091761879</t>
  </si>
  <si>
    <t>91</t>
  </si>
  <si>
    <t>Médiathèque d'Ornon</t>
  </si>
  <si>
    <t>Mairie de Villenave-d'Ornon</t>
  </si>
  <si>
    <t>Espace de 1000 m² situé dans le quartier de Chambéry, la Médiathèque d’Ornon est un outil culturel riche, conçu pour favoriser la lecture, l'ouverture au monde musical et audiovisuel et l'initiation aux nouvelles technologies, mais aussi lieu de loisirs, de convivialité, de détente et d'accès à l'information grâce à sa collection d'environ 70000 documents.Vous pouvez assister, tout au long de l'année aux différentes manifestations culturelles gratuites proposées par la Médiathèque d'Ornon : concerts, ateliers de lecture et d'écriture, contes, animations multimédia.</t>
  </si>
  <si>
    <t>46 bis rue Jean-Jacques Rousseau</t>
  </si>
  <si>
    <t>46bis</t>
  </si>
  <si>
    <t>Rue Jean-Jacques Rousseau</t>
  </si>
  <si>
    <t>Villenave-d'Ornon</t>
  </si>
  <si>
    <t>44.7647467798463</t>
  </si>
  <si>
    <t>-0.584067604517552</t>
  </si>
  <si>
    <t>Mardi : 15h-19h (ou 20h). Mercredi : 10h-18h. Jeudi : 15h-18h. Vendredi : 10h-12h /14h-18h. Samedi : 10h-18h.</t>
  </si>
  <si>
    <t>service.mediatheque@mairie-villenavedornon.fr</t>
  </si>
  <si>
    <t>https://mediatheque.villenavedornon.fr/exploitation/</t>
  </si>
  <si>
    <t>Tu 15:00-19:00; We,Sa 10:00-18:00; Th 15:00-18:00; Fr 10:00-12:00,14:00-18:00</t>
  </si>
  <si>
    <t>TABLETTE/Basique,ORDI/Basique,INTERNET/Basique,MAILS/Basique,CV/Basique,DIFFCV/Non,ORGRECHEMPLOI/Non,EMPLOISTORE/Non,DECLAPE/Non,IMPOTS/Non,DROITSSOCIAUXRSACAF/Non,RETRAITE/Non,CPAM/Non,FACTURES/Non,ETATCIVIL/Non,PERMIS/Non,PHOTO/Basique,IMPTROISD/Non,PAO/Basique,SITEWEB/Non,CODE/Non,MOOC/Basique</t>
  </si>
  <si>
    <t>44.7647467798, -0.584067604518</t>
  </si>
  <si>
    <t>92</t>
  </si>
  <si>
    <t>Médiathèque Les Etoiles</t>
  </si>
  <si>
    <t>La Médiathèque les Etoiles est située dans le quartier du Bocage, dans un bâtiment regroupant également le Centre socioculturel et les Archives municipales. Destinée à accueillir tous les publics, elle propose des espaces livres, presse, vidéo-son, multimédia et jeux vidéo afin de favoriser la lecture, l’accès à la musique et l’initiation aux nouvelles technologies.En plus des animations gratuites proposées tout au long de l’année et d’un large fonds, la Médiathèque les Etoiles dispose également d'une partothèque, et les musiciens locaux peuvent enrichir la démothèque mise à disposition.</t>
  </si>
  <si>
    <t>7 rue Colette Besson</t>
  </si>
  <si>
    <t>Rue Colette Besson</t>
  </si>
  <si>
    <t>44.776760132855</t>
  </si>
  <si>
    <t>-0.532773266803185</t>
  </si>
  <si>
    <t>44.7767601329, -0.532773266803</t>
  </si>
  <si>
    <t>93</t>
  </si>
  <si>
    <t>Service Municipal Emploi de Villenave d'Ornon</t>
  </si>
  <si>
    <t>Ce service aide à la recherche d’emploi et accueille tous les demandeurs d’emplois Villenavaises et Villenavais, qui souhaitent être aidés dans leurs recherches d’emplois et/ou dans leur réinsertion professionnelle. Un « cyber espace » avec plusieurs postes informatiques est mis à disposition des demandeurs d’emploi pour faciliter les démarches en ligne liées à la recherche d’emploi. Le service emploi municipal propose des rendez-vous individuels pour faire un point sur sa recherche d’emploi, aider à la rédaction de lettre de motivation et CV, mettre à jour son profil de compétences sur le site de Pôle Emploi.</t>
  </si>
  <si>
    <t>Domaine Jacques Brel, 45 Avenue du Marechal Leclerc</t>
  </si>
  <si>
    <t>Avenue du Maréchal Leclerc</t>
  </si>
  <si>
    <t>44.778427104317</t>
  </si>
  <si>
    <t>-0.573094593051273</t>
  </si>
  <si>
    <t>Du Lundi au Vendredi : 8h45-12h30/14h-16h45.</t>
  </si>
  <si>
    <t>service.emploi@mairie-villenavedornon.fr</t>
  </si>
  <si>
    <t>https://www.villenavedornon.fr/developpement-economie-emploi/aide-emploi/service-emploi-municipal/</t>
  </si>
  <si>
    <t>https://www.facebook.com/mairievillenavedornon/?fref=ts</t>
  </si>
  <si>
    <t>Mo-Fr 08:45-12:30,14:00-16:45</t>
  </si>
  <si>
    <t>TABLETTE/Basique,ORDI/Basique,INTERNET/Expert,MAILS/Expert,CV/Expert,DIFFCV/Expert,ORGRECHEMPLOI/Maîtrise,EMPLOISTORE/Basique,DECLAPE/Expert,IMPOTS/Non,DROITSSOCIAUXRSACAF/Basique,RETRAITE/Non,CPAM/Non,FACTURES/Non,ETATCIVIL/Non,PERMIS/Non,PHOTO/Non,IMPTROISD/Non,PAO/Non,SITEWEB/Non,CODE/Non,MOOC/Non</t>
  </si>
  <si>
    <t>44.7784271043, -0.573094593051</t>
  </si>
  <si>
    <t>94</t>
  </si>
  <si>
    <t>Médiathèque Assia Djebar</t>
  </si>
  <si>
    <t>Mairie de Blanquefort</t>
  </si>
  <si>
    <t>La médiathèque Assia Djebar de Blanquefort est située au sein du Centre Culturel Les Colonnes. Elle offre un accès à tous les médias en matière de loisirs, de culture, d’information et de formation continue. Ouverte 35h par semaine, elle accueille des usagers qui viennent pour emprunter des documents, pour lire la presse, consulter Internet, travailler, accompagner, se rencontrer... Elle propose aussi une programmation culturelle tout au long de l’année : expositions, rencontres… L’espace numérique Le F.I.L (Formation Innovation Ludique) est situé au niveau -1 de la médiathèque.</t>
  </si>
  <si>
    <t>4 rue du Docteur Castéra</t>
  </si>
  <si>
    <t>Rue du Docteur Castera</t>
  </si>
  <si>
    <t>Blanquefort</t>
  </si>
  <si>
    <t>44.9104983923576</t>
  </si>
  <si>
    <t>-0.632884204441594</t>
  </si>
  <si>
    <t>Mardi et Jeudi : 14h-19h. Mercredi et Vendredi : 10h-19h. Samedi : 10h-17h. Horaires d'été (juillet-août) : Mardi au Jeudi : 14h-18h. Mercredi et Vendredi : 10h-12h/14h-18h. Samedi : 10h13h.</t>
  </si>
  <si>
    <t>mediatheque@ville-blanquefort.fr</t>
  </si>
  <si>
    <t>http://mediatheque.ville-blanquefort.fr</t>
  </si>
  <si>
    <t>https://www.facebook.com/mediathequeassiadjebarblanquefort</t>
  </si>
  <si>
    <t>Tu,Th 14:00-19:00; We,Fr 10:00-19:00; Sa 10:00-17:00; Jul-Aug Tu,Th 14:00-18:00; Jul-Aug We,Fr 10:00-12:00,14:00-18:00; Jul-Aug Sa 10:00-13:00</t>
  </si>
  <si>
    <t>TABLETTE/Expert,ORDI/Expert,INTERNET/Expert,MAILS/Expert,CV/Basique,DIFFCV/Basique,ORGRECHEMPLOI/Basique,EMPLOISTORE/Non,DECLAPE/Basique,IMPOTS/Non,DROITSSOCIAUXRSACAF/Basique,RETRAITE/Basique,CPAM/Basique,FACTURES/Basique,ETATCIVIL/Basique,PERMIS/Basique,PHOTO/Expert,IMPTROISD/Expert,PAO/Expert,SITEWEB/Expert,CODE/Expert,MOOC/Maîtrise</t>
  </si>
  <si>
    <t>44.9104983924, -0.632884204442</t>
  </si>
  <si>
    <t>100</t>
  </si>
  <si>
    <t>Bibliothèque du Haillan</t>
  </si>
  <si>
    <t>Mairie du Haillan</t>
  </si>
  <si>
    <t>Service municipal de proximité ayant pour mission la diffusion et la promotion de l'information, de l'éducation et de la culture.</t>
  </si>
  <si>
    <t>30 rue de Los Heros</t>
  </si>
  <si>
    <t>Rue de Los Heros</t>
  </si>
  <si>
    <t>44.8739005905383</t>
  </si>
  <si>
    <t>-0.675935112261396</t>
  </si>
  <si>
    <t>Mardi : 14h-18h. Mercredi : 10h-12h30/14h-18h. Jeudi : 10h-12h30/14h-18h. Vendredi : 10h-12h30/14h-19h. Samedi : 10h-17h.</t>
  </si>
  <si>
    <t>service.bibliotheque@ville-lehaillan.fr</t>
  </si>
  <si>
    <t>bibliotheque.ville-lehaillan.fr</t>
  </si>
  <si>
    <t>Tu 14:00-18:00; We,Th 10:00-12:30,14:00-18:00; Fr 10:00-12:30,14:00-19:00; Sa 10:00-17:00</t>
  </si>
  <si>
    <t>TABLETTE/Maîtrise,ORDI/Maîtrise,INTERNET/Maîtrise,MAILS/Maîtrise,CV/Basique,DIFFCV/Maîtrise,ORGRECHEMPLOI/Maîtrise,EMPLOISTORE/Basique,DECLAPE/Basique,IMPOTS/Basique,DROITSSOCIAUXRSACAF/Basique,RETRAITE/Basique,CPAM/Basique,FACTURES/Basique,ETATCIVIL/Basique,PERMIS/Basique,PHOTO/Maîtrise,IMPTROISD/Non,PAO/Maîtrise,SITEWEB/Maîtrise,CODE/Maîtrise,MOOC/Maîtrise</t>
  </si>
  <si>
    <t>44.8739005905, -0.675935112261</t>
  </si>
  <si>
    <t>108</t>
  </si>
  <si>
    <t>CCAS de Mérignac</t>
  </si>
  <si>
    <t>Le CCAS, établissement public de proximité, anime l’action générale de prévention et de développement social dans la commune. Au cœur des solidarités, le CCAS, en lien avec les partenaires, institutions publiques et privées, travaille en coordination et complémentarité avec l’ensemble des acteurs, dans le but d’améliorer les conditions de vie des habitants de Mérignac, faciliter l’accès aux droits, en s’appuyant sur l’observation constante de la demande sociale et ainsi lier les conditions de développement de nouvelles réponses.</t>
  </si>
  <si>
    <t>60 Avenue Maréchal de Lattre de Tassigny</t>
  </si>
  <si>
    <t>44.8461771954759</t>
  </si>
  <si>
    <t>-0.656229041984005</t>
  </si>
  <si>
    <t>Lundi : 13h-17h. Mardi au Vendredi : 8h30-17h.</t>
  </si>
  <si>
    <t>ccas@merignac.com</t>
  </si>
  <si>
    <t>http://www.merignac.com/</t>
  </si>
  <si>
    <t>https://www.facebook.com/Merignac</t>
  </si>
  <si>
    <t>Mo 13:00-17:00; Tu-Fr 08:30-17:00</t>
  </si>
  <si>
    <t>TABLETTE/Basique,ORDI/Basique,INTERNET/Basique,MAILS/Basique,CV/Non,DIFFCV/Non,ORGRECHEMPLOI/Non,EMPLOISTORE/Non,DECLAPE/Basique,IMPOTS/Non,DROITSSOCIAUXRSACAF/Basique,RETRAITE/Basique,CPAM/Basique,FACTURES/Basique,ETATCIVIL/Basique,PERMIS/Basique,PHOTO/Non,IMPTROISD/Non,PAO/Non,SITEWEB/Non,CODE/Non,MOOC/Non</t>
  </si>
  <si>
    <t>44.8461771955, -0.656229041984</t>
  </si>
  <si>
    <t>109</t>
  </si>
  <si>
    <t>Le Vivier des Partages</t>
  </si>
  <si>
    <t>Le Vivier des Partages est une association qui a trois objectifs : encourager l'engagement collectif, développer des réseaux de solidarité et créer des temps et des espaces de convivialité. Ainsi, nous créons café-débat, nous accompagnons des projets collectifs,  nous animons des ateliers sur des thématiques diverses et enfin nous proposons de l'entraide numérique. Toutes nos interventions sont motivées par l'esprit de l'éducation populaire et l'apprentissage par l'action. L'entraide numérique se déroule chez nos partenaires notamment une fois par mois au café le Petit Grain à Bordeaux.</t>
  </si>
  <si>
    <t>Variables.</t>
  </si>
  <si>
    <t>levivierdespartages@hotmail.com</t>
  </si>
  <si>
    <t>https://levivierdespartages.wixsite.com/accueil</t>
  </si>
  <si>
    <t>https://www.facebook.com/levivierdespartages/</t>
  </si>
  <si>
    <t>TABLETTE/Basique,ORDI/Maîtrise,INTERNET/Maîtrise,MAILS/Basique,CV/Maîtrise,DIFFCV/Basique,ORGRECHEMPLOI/Basique,EMPLOISTORE/Basique,DECLAPE/Maîtrise,IMPOTS/Basique,DROITSSOCIAUXRSACAF/Maîtrise,RETRAITE/Non,CPAM/Basique,FACTURES/Basique,ETATCIVIL/Basique,PERMIS/Non,PHOTO/Basique,IMPTROISD/Non,PAO/Basique,SITEWEB/Basique,CODE/Non,MOOC/Basique</t>
  </si>
  <si>
    <t>110</t>
  </si>
  <si>
    <t>Espace Public Numérique de Beaudésert : Réseau des Médiathèques de Mérignac</t>
  </si>
  <si>
    <t>Mairie de Mérignac</t>
  </si>
  <si>
    <t>L'EPN de la médiathèque de BEAUDESERT est un espace dédié à la découverte, à l'apprentissage et à la pratique des techniques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professionnels. Des ateliers multimédia et des animations sont régulièrement organisés afin de découvrir les usages numériques.</t>
  </si>
  <si>
    <t>74  avenue des marronniers</t>
  </si>
  <si>
    <t>Avenue des Marronniers</t>
  </si>
  <si>
    <t>44.8437159703148</t>
  </si>
  <si>
    <t>-0.679598329225639</t>
  </si>
  <si>
    <t>Mardi : 17h-18h30. Mercredi : 14h-17h. Jeudi : 15h-18h. Vendredi : 10h30-12h.</t>
  </si>
  <si>
    <t>mediatheque.epn@merignac.com</t>
  </si>
  <si>
    <t>http://www.mediatheque.merignac.com/Default/informatique.aspx</t>
  </si>
  <si>
    <t>https://www.facebook.com/mediathequemerignac/</t>
  </si>
  <si>
    <t>Tu 17:00-18:30; We 14:00-17:00; Th 15:00-18:00; Fr 10:30-12:00</t>
  </si>
  <si>
    <t>TABLETTE/Maîtrise,ORDI/Expert,INTERNET/Expert,MAILS/Expert,CV/Basique,DIFFCV/Maîtrise,ORGRECHEMPLOI/Basique,EMPLOISTORE/Basique,DECLAPE/Maîtrise,IMPOTS/Expert,DROITSSOCIAUXRSACAF/Maîtrise,RETRAITE/Basique,CPAM/Maîtrise,FACTURES/Maîtrise,ETATCIVIL/Maîtrise,PERMIS/Maîtrise,PHOTO/Maîtrise,IMPTROISD/Non,PAO/Maîtrise,SITEWEB/Maîtrise,CODE/Non,MOOC/Basique</t>
  </si>
  <si>
    <t>44.8437159703, -0.679598329226</t>
  </si>
  <si>
    <t>111</t>
  </si>
  <si>
    <t>Médiathèque Michel Sainte-Marie Espace Public Numérique</t>
  </si>
  <si>
    <t>L'EPN de la médiathèque Michel SAINTE-MARIE est un espace public dédié à la découverte, à l'apprentissage et à la pratique des technologies de l'information et de la communication. La vocation de cet espace est d'aider tous les publics à s'approprier les usages numériques pour leurs projets personnels ou professionnels. Tous les publics peuvent bénéficier de conseils et d'une assistance auprès d'une équipe d'animateurs multimédia professionnels. Des ateliers numériques et des animations sont régulièrement organisés afin de découvrir les usages numériques.</t>
  </si>
  <si>
    <t>19 place Charles de Gaulle</t>
  </si>
  <si>
    <t>44.8423693794038</t>
  </si>
  <si>
    <t>-0.646640984989363</t>
  </si>
  <si>
    <t>Du Mardi au Samedi : 13h-17h. Mercredi : 13h-19h.</t>
  </si>
  <si>
    <t>Tu-Sa 13:00-17:00; We 13:00-19:00</t>
  </si>
  <si>
    <t>TABLETTE/Maîtrise,ORDI/Expert,INTERNET/Expert,MAILS/Expert,CV/Basique,DIFFCV/Maîtrise,ORGRECHEMPLOI/Basique,EMPLOISTORE/Basique,DECLAPE/Expert,IMPOTS/Expert,DROITSSOCIAUXRSACAF/Maîtrise,RETRAITE/Basique,CPAM/Maîtrise,FACTURES/Maîtrise,ETATCIVIL/Maîtrise,PERMIS/Maîtrise,PHOTO/Maîtrise,IMPTROISD/Non,PAO/Maîtrise,SITEWEB/Maîtrise,CODE/Basique,MOOC/Expert</t>
  </si>
  <si>
    <t>44.8423693794, -0.646640984989</t>
  </si>
  <si>
    <t>112</t>
  </si>
  <si>
    <t>Mission Locale Technowest</t>
  </si>
  <si>
    <t>Structure du service public de l'emploi en charge de l'accueil et de l'accompagnement vers l'insertion sociale et professionnelle des jeunes âgés de 16 à 25 ans sortis du système scolaire et résidant sur le territoire des 16 communes adhérentes à la Mission Locale Technowest. Accompagnement global: Formation, projet professionnel, emploi, santé, citoyenneté, logement, loisirs et culture, mobilité internationale.</t>
  </si>
  <si>
    <t>9 rue Montgolfier</t>
  </si>
  <si>
    <t>Rue Montgolfier</t>
  </si>
  <si>
    <t>44.8550175341636</t>
  </si>
  <si>
    <t>-0.65310983538959</t>
  </si>
  <si>
    <t>Lundi au Vendredi : 8h30-12h30/13h30-17h30.</t>
  </si>
  <si>
    <t>contact@missionlocaletechnowest.fr</t>
  </si>
  <si>
    <t>https://www.mltechnowest.com/</t>
  </si>
  <si>
    <t>https://www.facebook.com/MiLoTechnowest/</t>
  </si>
  <si>
    <t>Mo-Fr 08:30-12:30,13:30-17:30</t>
  </si>
  <si>
    <t>TABLETTE/Non,ORDI/Basique,INTERNET/Basique,MAILS/Basique,CV/Expert,DIFFCV/Expert,ORGRECHEMPLOI/Expert,EMPLOISTORE/Maîtrise,DECLAPE/Maîtrise,IMPOTS/Basique,DROITSSOCIAUXRSACAF/Basique,RETRAITE/Non,CPAM/Basique,FACTURES/Non,ETATCIVIL/Non,PERMIS/Non,PHOTO/Non,IMPTROISD/Non,PAO/Non,SITEWEB/Non,CODE/Non,MOOC/Basique</t>
  </si>
  <si>
    <t>44.8550175342, -0.65310983539</t>
  </si>
  <si>
    <t>119</t>
  </si>
  <si>
    <t>Atelier Brach</t>
  </si>
  <si>
    <t>33 rue de Brach</t>
  </si>
  <si>
    <t>Rue de Brach</t>
  </si>
  <si>
    <t>44.8389866834739</t>
  </si>
  <si>
    <t>-0.594572270945236</t>
  </si>
  <si>
    <t>44.8389866835, -0.594572270945</t>
  </si>
  <si>
    <t>122</t>
  </si>
  <si>
    <t>Centre d'animation Monséjour</t>
  </si>
  <si>
    <t>Le centre d’animation Monséjour fait partie de l’association des Centres d’animation de Bordeaux, association républicaine d’animation socioculturelle, loi 1901. Son action se fonde sur un ensemble de valeurs et de principes et est guidée par ses textes fondateurs, dont ses statuts et son projet associatif. Agréée jeunesse et éducation populaire, 10 centres d’animation sont agréés Centre social, elle œuvre avec toutes et tous afin de contribuer à l’émancipation des personnes qu’elle accueille en promouvant une éducation tout au long de la vie et l’égale reconnaissance des savoirs, savoir-faire et savoir-être.</t>
  </si>
  <si>
    <t>rue François Coppée</t>
  </si>
  <si>
    <t>Rue François Coppée</t>
  </si>
  <si>
    <t>44.8541855653373</t>
  </si>
  <si>
    <t>-0.629699824219564</t>
  </si>
  <si>
    <t>Lundi, Mercredi et Vendredi : 14h – 19h, Mardi et jeudi : 9h – 12h30 / 14h – 18h30.</t>
  </si>
  <si>
    <t>monsejour@cabordeaux.fr</t>
  </si>
  <si>
    <t>https://centresanimationbordeaux.fr/monsejour/</t>
  </si>
  <si>
    <t>Mo-Fr 14:00-19:00; Tu,Th 09:00-12:30,14:00-18:00</t>
  </si>
  <si>
    <t>Demandeurs d'emploi,Etrangers,Jeunes,Personnes en situation de handicap,Séniors</t>
  </si>
  <si>
    <t>TABLETTE/Non,ORDI/Non,INTERNET/Basique,MAILS/Basique,CV/Non,DIFFCV/Non,ORGRECHEMPLOI/Non,EMPLOISTORE/Non,DECLAPE/Basique,IMPOTS/Basique,DROITSSOCIAUXRSACAF/Basique,RETRAITE/Basique,CPAM/Basique,FACTURES/Basique,ETATCIVIL/Basique,PERMIS/Non,PHOTO/Non,IMPTROISD/Non,PAO/Non,SITEWEB/Non,CODE/Non,MOOC/Non</t>
  </si>
  <si>
    <t>44.8541855653, -0.62969982422</t>
  </si>
  <si>
    <t>124</t>
  </si>
  <si>
    <t>Espace de vie sociale Barthez</t>
  </si>
  <si>
    <t>Permanences d'accueils individuels et collectifs  caf, info droits, service emploi de la ville de Gradignan -  Informations pour l’accès aux loisirs et vacances (point information vacances) - Ateliers de formation pour adultes : alphabétisation, FLE - Actions d'accompagnement vers l'emploi - Accompagnement à la scolarité élémentaire - Ateliers d’échange de savoirs (cuisine, couture) - soirées thématiques (contes, karaoké, loto, jeux de société) - Sorties et projets week-end familles - Manifestations de quartier des projets des familles - Activites parents-enfants.</t>
  </si>
  <si>
    <t>20 bis bd malartic  residence barthez</t>
  </si>
  <si>
    <t>20bis</t>
  </si>
  <si>
    <t>Boulevard de Malartic</t>
  </si>
  <si>
    <t>44.7708750360885</t>
  </si>
  <si>
    <t>-0.600367778910753</t>
  </si>
  <si>
    <t>Lundi, Mercredi : 9h-12h/14h-18h.  Mardi, Jeudi, Vendredi : 9h-12h/14h-19h. Samedi sur projet.</t>
  </si>
  <si>
    <t>epajgbarthez@ville-gradignan.fr</t>
  </si>
  <si>
    <t>Mo,We 09:00-12:00,14:00-18:00; Tu,Th,Fr 09:00-12:00,14:00-19:00</t>
  </si>
  <si>
    <t>TABLETTE/Non,ORDI/Non,INTERNET/Non,MAILS/Basique,CV/Maîtrise,DIFFCV/Maîtrise,ORGRECHEMPLOI/Maîtrise,EMPLOISTORE/Maîtrise,DECLAPE/Maîtrise,IMPOTS/Maîtrise,DROITSSOCIAUXRSACAF/Maîtrise,RETRAITE/Basique,CPAM/Maîtrise,FACTURES/Maîtrise,ETATCIVIL/Maîtrise,PERMIS/Maîtrise,PHOTO/Non,IMPTROISD/Non,PAO/Non,SITEWEB/Non,CODE/Non,MOOC/Non</t>
  </si>
  <si>
    <t>44.7708750361, -0.600367778911</t>
  </si>
  <si>
    <t>125</t>
  </si>
  <si>
    <t>Eysines France Services</t>
  </si>
  <si>
    <t>Nous disposons d'un espace numérique de 2 ordinateurs en accès libres dédiés au public. Ils peuvent être utilisés en autonomie ou accompagnés par les agents présents.</t>
  </si>
  <si>
    <t>Place du Rouillaou</t>
  </si>
  <si>
    <t>44.8798847142447</t>
  </si>
  <si>
    <t>-0.636249034327296</t>
  </si>
  <si>
    <t>Du Lundi au Jeudi : 9h/12h30-14H/18h. Vendredi : 9h-12h30.</t>
  </si>
  <si>
    <t>msap@eysines.fr</t>
  </si>
  <si>
    <t>Mo-Th 09:00-12:30,14:00-18:00; Fr 09:30-12:30</t>
  </si>
  <si>
    <t>TABLETTE/Non,ORDI/Basique,INTERNET/Basique,MAILS/Basique,CV/Basique,DIFFCV/Non,ORGRECHEMPLOI/Non,EMPLOISTORE/Non,DECLAPE/Expert,IMPOTS/Expert,DROITSSOCIAUXRSACAF/Expert,RETRAITE/Expert,CPAM/Expert,FACTURES/Expert,ETATCIVIL/Expert,PERMIS/Expert,PHOTO/Non,IMPTROISD/Non,PAO/Non,SITEWEB/Non,CODE/Non,MOOC/Non</t>
  </si>
  <si>
    <t>44.8798847142, -0.636249034327</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</si>
</sst>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0" fontId="1" numFmtId="0" xfId="0" applyFont="1"/>
    <xf borderId="0" fillId="0" fontId="2" numFmtId="49"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le-relais-talencais.org/" TargetMode="External"/><Relationship Id="rId42" Type="http://schemas.openxmlformats.org/officeDocument/2006/relationships/hyperlink" Target="https://www.ville-martignas.fr/centre-socioculturel/" TargetMode="External"/><Relationship Id="rId41" Type="http://schemas.openxmlformats.org/officeDocument/2006/relationships/hyperlink" Target="https://www.facebook.com/Lerelaistalencais" TargetMode="External"/><Relationship Id="rId44" Type="http://schemas.openxmlformats.org/officeDocument/2006/relationships/hyperlink" Target="https://www.facebook.com/puzzlecapeyron/" TargetMode="External"/><Relationship Id="rId43" Type="http://schemas.openxmlformats.org/officeDocument/2006/relationships/hyperlink" Target="https://puzzle-capeyron.fr/" TargetMode="External"/><Relationship Id="rId46" Type="http://schemas.openxmlformats.org/officeDocument/2006/relationships/hyperlink" Target="https://www.facebook.com/ASCO-Association-Socio-Culturelle-de-lOuest-350004958881145" TargetMode="External"/><Relationship Id="rId45" Type="http://schemas.openxmlformats.org/officeDocument/2006/relationships/hyperlink" Target="http://association-asco.com/" TargetMode="External"/><Relationship Id="rId107" Type="http://schemas.openxmlformats.org/officeDocument/2006/relationships/hyperlink" Target="https://www.laruchenjalles.com/" TargetMode="External"/><Relationship Id="rId106" Type="http://schemas.openxmlformats.org/officeDocument/2006/relationships/hyperlink" Target="http://www.maisondanimationdesjalles.org/" TargetMode="External"/><Relationship Id="rId105" Type="http://schemas.openxmlformats.org/officeDocument/2006/relationships/hyperlink" Target="https://www.facebook.com/merignacjeunesse/" TargetMode="External"/><Relationship Id="rId104" Type="http://schemas.openxmlformats.org/officeDocument/2006/relationships/hyperlink" Target="http://www.merignac.com/actualites/le-bureau-information-jeunesse-merignac-un-lieu-pour-tous-les-jeunes-de-11-30-ans" TargetMode="External"/><Relationship Id="rId109" Type="http://schemas.openxmlformats.org/officeDocument/2006/relationships/hyperlink" Target="https://www.facebook.com/lesmediathequessmj/" TargetMode="External"/><Relationship Id="rId108" Type="http://schemas.openxmlformats.org/officeDocument/2006/relationships/hyperlink" Target="http://mediatheques.saint-medard-en-jalles.fr" TargetMode="External"/><Relationship Id="rId48" Type="http://schemas.openxmlformats.org/officeDocument/2006/relationships/hyperlink" Target="https://www.facebook.com/AtelierRemumenage/" TargetMode="External"/><Relationship Id="rId47" Type="http://schemas.openxmlformats.org/officeDocument/2006/relationships/hyperlink" Target="http://atelier-remumenage.org/" TargetMode="External"/><Relationship Id="rId49" Type="http://schemas.openxmlformats.org/officeDocument/2006/relationships/hyperlink" Target="https://centresanimationbordeaux.fr/bacalan" TargetMode="External"/><Relationship Id="rId184" Type="http://schemas.openxmlformats.org/officeDocument/2006/relationships/drawing" Target="../drawings/drawing1.xml"/><Relationship Id="rId103" Type="http://schemas.openxmlformats.org/officeDocument/2006/relationships/hyperlink" Target="https://www.facebook.com/artsetloisirsarlac.fr/" TargetMode="External"/><Relationship Id="rId102" Type="http://schemas.openxmlformats.org/officeDocument/2006/relationships/hyperlink" Target="https://artsetloisirsarlac.centres-sociaux.fr/" TargetMode="External"/><Relationship Id="rId101" Type="http://schemas.openxmlformats.org/officeDocument/2006/relationships/hyperlink" Target="http://agirabcd33.com/antenne-merignac.html" TargetMode="External"/><Relationship Id="rId100" Type="http://schemas.openxmlformats.org/officeDocument/2006/relationships/hyperlink" Target="http://www.mediatheque-taillan-medoc.fr/" TargetMode="External"/><Relationship Id="rId31" Type="http://schemas.openxmlformats.org/officeDocument/2006/relationships/hyperlink" Target="https://www.alteregaux33.fr/" TargetMode="External"/><Relationship Id="rId30" Type="http://schemas.openxmlformats.org/officeDocument/2006/relationships/hyperlink" Target="http://www.clap-so.org/les-secteurs/dplai/" TargetMode="External"/><Relationship Id="rId33" Type="http://schemas.openxmlformats.org/officeDocument/2006/relationships/hyperlink" Target="https://www.iut.u-bordeaux.fr/cohabit/" TargetMode="External"/><Relationship Id="rId183" Type="http://schemas.openxmlformats.org/officeDocument/2006/relationships/hyperlink" Target="https://www.facebook.com/centresanimationbordeaux/" TargetMode="External"/><Relationship Id="rId32" Type="http://schemas.openxmlformats.org/officeDocument/2006/relationships/hyperlink" Target="http://www.bordeaux-ecole-numerique.fr/" TargetMode="External"/><Relationship Id="rId182" Type="http://schemas.openxmlformats.org/officeDocument/2006/relationships/hyperlink" Target="https://centresanimationbordeaux.fr/monsejour/" TargetMode="External"/><Relationship Id="rId35" Type="http://schemas.openxmlformats.org/officeDocument/2006/relationships/hyperlink" Target="http://www.plie-portesdusud.org" TargetMode="External"/><Relationship Id="rId181" Type="http://schemas.openxmlformats.org/officeDocument/2006/relationships/hyperlink" Target="https://www.facebook.com/Bordeaux.Seniors/" TargetMode="External"/><Relationship Id="rId34" Type="http://schemas.openxmlformats.org/officeDocument/2006/relationships/hyperlink" Target="https://www.facebook.com/Fablab-Cohabit-1713924472234837/" TargetMode="External"/><Relationship Id="rId180" Type="http://schemas.openxmlformats.org/officeDocument/2006/relationships/hyperlink" Target="https://seniorsreporters.bordeaux.fr" TargetMode="External"/><Relationship Id="rId37" Type="http://schemas.openxmlformats.org/officeDocument/2006/relationships/hyperlink" Target="https://www.talence.fr/quotidien/jeunesse-vie-etudiante/service-jeunesse-esj/" TargetMode="External"/><Relationship Id="rId176" Type="http://schemas.openxmlformats.org/officeDocument/2006/relationships/hyperlink" Target="http://www.mediatheque.merignac.com/Default/informatique.aspx" TargetMode="External"/><Relationship Id="rId36" Type="http://schemas.openxmlformats.org/officeDocument/2006/relationships/hyperlink" Target="http://mediatheque.mairie-pessac.fr/" TargetMode="External"/><Relationship Id="rId175" Type="http://schemas.openxmlformats.org/officeDocument/2006/relationships/hyperlink" Target="https://www.facebook.com/mediathequemerignac/" TargetMode="External"/><Relationship Id="rId39" Type="http://schemas.openxmlformats.org/officeDocument/2006/relationships/hyperlink" Target="https://portail.mediatheques.talence.fr" TargetMode="External"/><Relationship Id="rId174" Type="http://schemas.openxmlformats.org/officeDocument/2006/relationships/hyperlink" Target="http://www.mediatheque.merignac.com/Default/informatique.aspx" TargetMode="External"/><Relationship Id="rId38" Type="http://schemas.openxmlformats.org/officeDocument/2006/relationships/hyperlink" Target="https://www.facebook.com/EIJTalence/" TargetMode="External"/><Relationship Id="rId173" Type="http://schemas.openxmlformats.org/officeDocument/2006/relationships/hyperlink" Target="https://www.facebook.com/levivierdespartages/" TargetMode="External"/><Relationship Id="rId179" Type="http://schemas.openxmlformats.org/officeDocument/2006/relationships/hyperlink" Target="https://www.facebook.com/MiLoTechnowest/" TargetMode="External"/><Relationship Id="rId178" Type="http://schemas.openxmlformats.org/officeDocument/2006/relationships/hyperlink" Target="https://www.mltechnowest.com/" TargetMode="External"/><Relationship Id="rId177" Type="http://schemas.openxmlformats.org/officeDocument/2006/relationships/hyperlink" Target="https://www.facebook.com/mediathequemerignac/" TargetMode="External"/><Relationship Id="rId20" Type="http://schemas.openxmlformats.org/officeDocument/2006/relationships/hyperlink" Target="https://www.facebook.com/bibliotheques.bordeaux/" TargetMode="External"/><Relationship Id="rId22" Type="http://schemas.openxmlformats.org/officeDocument/2006/relationships/hyperlink" Target="https://www.facebook.com/bibliotheques.bordeaux/" TargetMode="External"/><Relationship Id="rId21" Type="http://schemas.openxmlformats.org/officeDocument/2006/relationships/hyperlink" Target="http://bibliotheque.bordeaux.fr" TargetMode="External"/><Relationship Id="rId24" Type="http://schemas.openxmlformats.org/officeDocument/2006/relationships/hyperlink" Target="https://www.facebook.com/bibliotheques.bordeaux/" TargetMode="External"/><Relationship Id="rId23" Type="http://schemas.openxmlformats.org/officeDocument/2006/relationships/hyperlink" Target="http://bibliotheque.bordeaux.fr" TargetMode="External"/><Relationship Id="rId129" Type="http://schemas.openxmlformats.org/officeDocument/2006/relationships/hyperlink" Target="https://centresanimationbordeaux.fr/saint-pierre/" TargetMode="External"/><Relationship Id="rId128" Type="http://schemas.openxmlformats.org/officeDocument/2006/relationships/hyperlink" Target="https://www.caio-bordeaux.com/" TargetMode="External"/><Relationship Id="rId127" Type="http://schemas.openxmlformats.org/officeDocument/2006/relationships/hyperlink" Target="https://www.emploi-bordeaux.fr/" TargetMode="External"/><Relationship Id="rId126" Type="http://schemas.openxmlformats.org/officeDocument/2006/relationships/hyperlink" Target="https://www.facebook.com/GP-Inten6t-Centre-Social-Et-Culturel-Du-Grand-Parc-486862171457017/" TargetMode="External"/><Relationship Id="rId26" Type="http://schemas.openxmlformats.org/officeDocument/2006/relationships/hyperlink" Target="https://www.carbon-blanc.fr/a-tout-age/solidarites/le-centre-communal-daction-sociale-2.html" TargetMode="External"/><Relationship Id="rId121" Type="http://schemas.openxmlformats.org/officeDocument/2006/relationships/hyperlink" Target="http://cap-sciences.net/" TargetMode="External"/><Relationship Id="rId25" Type="http://schemas.openxmlformats.org/officeDocument/2006/relationships/hyperlink" Target="https://www.facebook.com/liguedelenseignement.gironde/" TargetMode="External"/><Relationship Id="rId120" Type="http://schemas.openxmlformats.org/officeDocument/2006/relationships/hyperlink" Target="https://www.facebook.com/bibliotheques.bordeaux/" TargetMode="External"/><Relationship Id="rId28" Type="http://schemas.openxmlformats.org/officeDocument/2006/relationships/hyperlink" Target="http://facebook.com/lepixelrelaisnumerique" TargetMode="External"/><Relationship Id="rId27" Type="http://schemas.openxmlformats.org/officeDocument/2006/relationships/hyperlink" Target="https://pixel.cenon.fr/" TargetMode="External"/><Relationship Id="rId125" Type="http://schemas.openxmlformats.org/officeDocument/2006/relationships/hyperlink" Target="http://gpinten6t.fr/" TargetMode="External"/><Relationship Id="rId29" Type="http://schemas.openxmlformats.org/officeDocument/2006/relationships/hyperlink" Target="https://www.facebook.com/CGCVL/" TargetMode="External"/><Relationship Id="rId124" Type="http://schemas.openxmlformats.org/officeDocument/2006/relationships/hyperlink" Target="https://www.ameli.fr/gironde/" TargetMode="External"/><Relationship Id="rId123" Type="http://schemas.openxmlformats.org/officeDocument/2006/relationships/hyperlink" Target="http://www.clap-so.org/les-secteurs/dplai/" TargetMode="External"/><Relationship Id="rId122" Type="http://schemas.openxmlformats.org/officeDocument/2006/relationships/hyperlink" Target="https://www.facebook.com/cap.sciences" TargetMode="External"/><Relationship Id="rId95" Type="http://schemas.openxmlformats.org/officeDocument/2006/relationships/hyperlink" Target="https://www.facebook.com/EysinesCulture" TargetMode="External"/><Relationship Id="rId94" Type="http://schemas.openxmlformats.org/officeDocument/2006/relationships/hyperlink" Target="https://www.eysines-culture.fr/lieux/mediatheque-jean-degoul/" TargetMode="External"/><Relationship Id="rId97" Type="http://schemas.openxmlformats.org/officeDocument/2006/relationships/hyperlink" Target="https://www.facebook.com/ricochetasso33/" TargetMode="External"/><Relationship Id="rId96" Type="http://schemas.openxmlformats.org/officeDocument/2006/relationships/hyperlink" Target="https://www.ricochetasso.fr" TargetMode="External"/><Relationship Id="rId11" Type="http://schemas.openxmlformats.org/officeDocument/2006/relationships/hyperlink" Target="http://www.jeuneabordeaux.fr/" TargetMode="External"/><Relationship Id="rId99" Type="http://schemas.openxmlformats.org/officeDocument/2006/relationships/hyperlink" Target="https://www.facebook.com/LaSource33185/" TargetMode="External"/><Relationship Id="rId10" Type="http://schemas.openxmlformats.org/officeDocument/2006/relationships/hyperlink" Target="https://www.facebook.com/bibliotheques.bordeaux/" TargetMode="External"/><Relationship Id="rId98" Type="http://schemas.openxmlformats.org/officeDocument/2006/relationships/hyperlink" Target="https://www.ville-lehaillan.fr/La-Source-Centre-Socio-Culturel.html" TargetMode="External"/><Relationship Id="rId13" Type="http://schemas.openxmlformats.org/officeDocument/2006/relationships/hyperlink" Target="https://lenomlieu.wordpress.com/accueil/" TargetMode="External"/><Relationship Id="rId12" Type="http://schemas.openxmlformats.org/officeDocument/2006/relationships/hyperlink" Target="https://www.facebook.com/InfoJeunes.NA.Bordeaux.Europedirect/" TargetMode="External"/><Relationship Id="rId91" Type="http://schemas.openxmlformats.org/officeDocument/2006/relationships/hyperlink" Target="https://www.facebook.com/eychoeysines" TargetMode="External"/><Relationship Id="rId90" Type="http://schemas.openxmlformats.org/officeDocument/2006/relationships/hyperlink" Target="https://www.eysines.fr/solidarite-et-social/leycho/le-centre-social-eycho/" TargetMode="External"/><Relationship Id="rId93" Type="http://schemas.openxmlformats.org/officeDocument/2006/relationships/hyperlink" Target="https://www.facebook.com/eychoeysines" TargetMode="External"/><Relationship Id="rId92" Type="http://schemas.openxmlformats.org/officeDocument/2006/relationships/hyperlink" Target="https://www.eysines.fr/solidarite-et-social/leycho/le-centre-social-eycho/" TargetMode="External"/><Relationship Id="rId118" Type="http://schemas.openxmlformats.org/officeDocument/2006/relationships/hyperlink" Target="https://www.facebook.com/UDAF.Gironde.33" TargetMode="External"/><Relationship Id="rId117" Type="http://schemas.openxmlformats.org/officeDocument/2006/relationships/hyperlink" Target="http://www.udaf33.fr" TargetMode="External"/><Relationship Id="rId116" Type="http://schemas.openxmlformats.org/officeDocument/2006/relationships/hyperlink" Target="https://www.facebook.com/eychoeysines" TargetMode="External"/><Relationship Id="rId115" Type="http://schemas.openxmlformats.org/officeDocument/2006/relationships/hyperlink" Target="https://www.eysines.fr/solidarite-et-social/leycho/le-centre-social-eycho/" TargetMode="External"/><Relationship Id="rId119" Type="http://schemas.openxmlformats.org/officeDocument/2006/relationships/hyperlink" Target="http://bibliotheque.bordeaux.fr" TargetMode="External"/><Relationship Id="rId15" Type="http://schemas.openxmlformats.org/officeDocument/2006/relationships/hyperlink" Target="http://oxygene-asso.fr/" TargetMode="External"/><Relationship Id="rId110" Type="http://schemas.openxmlformats.org/officeDocument/2006/relationships/hyperlink" Target="http://feydit.saintmedardasso.fr/" TargetMode="External"/><Relationship Id="rId14" Type="http://schemas.openxmlformats.org/officeDocument/2006/relationships/hyperlink" Target="https://lenomlieu.org/accueil/?share=facebook&amp;nb=1" TargetMode="External"/><Relationship Id="rId17" Type="http://schemas.openxmlformats.org/officeDocument/2006/relationships/hyperlink" Target="http://www.abracodabra.fr/" TargetMode="External"/><Relationship Id="rId16" Type="http://schemas.openxmlformats.org/officeDocument/2006/relationships/hyperlink" Target="https://www.philomathiquebordeaux.com/" TargetMode="External"/><Relationship Id="rId19" Type="http://schemas.openxmlformats.org/officeDocument/2006/relationships/hyperlink" Target="http://bibliotheque.bordeaux.fr" TargetMode="External"/><Relationship Id="rId114" Type="http://schemas.openxmlformats.org/officeDocument/2006/relationships/hyperlink" Target="https://www.facebook.com/lesmediathequessmj/" TargetMode="External"/><Relationship Id="rId18" Type="http://schemas.openxmlformats.org/officeDocument/2006/relationships/hyperlink" Target="https://www.facebook.com/abracodabrabx/" TargetMode="External"/><Relationship Id="rId113" Type="http://schemas.openxmlformats.org/officeDocument/2006/relationships/hyperlink" Target="http://mediatheques.saint-medard-en-jalles.fr" TargetMode="External"/><Relationship Id="rId112" Type="http://schemas.openxmlformats.org/officeDocument/2006/relationships/hyperlink" Target="https://www.facebook.com/Bordeaux.Seniors/" TargetMode="External"/><Relationship Id="rId111" Type="http://schemas.openxmlformats.org/officeDocument/2006/relationships/hyperlink" Target="https://seniorsreporters.bordeaux.fr" TargetMode="External"/><Relationship Id="rId84" Type="http://schemas.openxmlformats.org/officeDocument/2006/relationships/hyperlink" Target="http://bibliotheque.mairie-begles.fr/" TargetMode="External"/><Relationship Id="rId83" Type="http://schemas.openxmlformats.org/officeDocument/2006/relationships/hyperlink" Target="https://mediatheque.lormont.fr/" TargetMode="External"/><Relationship Id="rId86" Type="http://schemas.openxmlformats.org/officeDocument/2006/relationships/hyperlink" Target="http://www.asti-pessac.org" TargetMode="External"/><Relationship Id="rId85" Type="http://schemas.openxmlformats.org/officeDocument/2006/relationships/hyperlink" Target="https://www.facebook.com/bibliothequedebegles" TargetMode="External"/><Relationship Id="rId88" Type="http://schemas.openxmlformats.org/officeDocument/2006/relationships/hyperlink" Target="https://www.talence.fr/quotidien/action-sociale-solidarite/ccas/" TargetMode="External"/><Relationship Id="rId150" Type="http://schemas.openxmlformats.org/officeDocument/2006/relationships/hyperlink" Target="http://csc-lacolline.com/" TargetMode="External"/><Relationship Id="rId87" Type="http://schemas.openxmlformats.org/officeDocument/2006/relationships/hyperlink" Target="https://www.adav33.fr/" TargetMode="External"/><Relationship Id="rId89" Type="http://schemas.openxmlformats.org/officeDocument/2006/relationships/hyperlink" Target="https://www.talence.fr/quotidien/economie-emploi/service-emploi-espalata-dome/" TargetMode="External"/><Relationship Id="rId80" Type="http://schemas.openxmlformats.org/officeDocument/2006/relationships/hyperlink" Target="https://www.facebook.com/Association-DIDEE-113473513436622" TargetMode="External"/><Relationship Id="rId82" Type="http://schemas.openxmlformats.org/officeDocument/2006/relationships/hyperlink" Target="https://www.facebook.com/Lormontinformatique/" TargetMode="External"/><Relationship Id="rId81" Type="http://schemas.openxmlformats.org/officeDocument/2006/relationships/hyperlink" Target="https://lormont-informatique.fr" TargetMode="External"/><Relationship Id="rId1" Type="http://schemas.openxmlformats.org/officeDocument/2006/relationships/hyperlink" Target="https://emmaus-connect.org/bordeaux/" TargetMode="External"/><Relationship Id="rId2" Type="http://schemas.openxmlformats.org/officeDocument/2006/relationships/hyperlink" Target="https://atelierdenoworking.fr/" TargetMode="External"/><Relationship Id="rId3" Type="http://schemas.openxmlformats.org/officeDocument/2006/relationships/hyperlink" Target="https://www.facebook.com/atelierdenoworking" TargetMode="External"/><Relationship Id="rId149" Type="http://schemas.openxmlformats.org/officeDocument/2006/relationships/hyperlink" Target="http://www.mediatheque-carbon-blanc.fr" TargetMode="External"/><Relationship Id="rId4" Type="http://schemas.openxmlformats.org/officeDocument/2006/relationships/hyperlink" Target="https://www.pole-emploi.fr" TargetMode="External"/><Relationship Id="rId148" Type="http://schemas.openxmlformats.org/officeDocument/2006/relationships/hyperlink" Target="https://mediatheque.ville-bassens.fr" TargetMode="External"/><Relationship Id="rId9" Type="http://schemas.openxmlformats.org/officeDocument/2006/relationships/hyperlink" Target="http://bibliotheque.bordeaux.fr" TargetMode="External"/><Relationship Id="rId143" Type="http://schemas.openxmlformats.org/officeDocument/2006/relationships/hyperlink" Target="http://www.bordeaux.fr/o383/sesame" TargetMode="External"/><Relationship Id="rId142" Type="http://schemas.openxmlformats.org/officeDocument/2006/relationships/hyperlink" Target="https://www.facebook.com/PIMMS-de-Bordeaux-1435073096755036/" TargetMode="External"/><Relationship Id="rId141" Type="http://schemas.openxmlformats.org/officeDocument/2006/relationships/hyperlink" Target="https://www.pimmsdebordeaux.org/" TargetMode="External"/><Relationship Id="rId140" Type="http://schemas.openxmlformats.org/officeDocument/2006/relationships/hyperlink" Target="https://www.douves.org/" TargetMode="External"/><Relationship Id="rId5" Type="http://schemas.openxmlformats.org/officeDocument/2006/relationships/hyperlink" Target="http://www.maisondequartierchantecler.fr/" TargetMode="External"/><Relationship Id="rId147" Type="http://schemas.openxmlformats.org/officeDocument/2006/relationships/hyperlink" Target="https://www.facebook.com/pole.culturel.evasion" TargetMode="External"/><Relationship Id="rId6" Type="http://schemas.openxmlformats.org/officeDocument/2006/relationships/hyperlink" Target="https://www.facebook.com/chantecler.asso.7" TargetMode="External"/><Relationship Id="rId146" Type="http://schemas.openxmlformats.org/officeDocument/2006/relationships/hyperlink" Target="https://evasion.ville-ambaresetlagrave.fr/" TargetMode="External"/><Relationship Id="rId7" Type="http://schemas.openxmlformats.org/officeDocument/2006/relationships/hyperlink" Target="http://www.centresocial-foyerfraternel.fr/" TargetMode="External"/><Relationship Id="rId145" Type="http://schemas.openxmlformats.org/officeDocument/2006/relationships/hyperlink" Target="https://www.facebook.com/bibliotheques.bordeaux/" TargetMode="External"/><Relationship Id="rId8" Type="http://schemas.openxmlformats.org/officeDocument/2006/relationships/hyperlink" Target="https://www.facebook.com/foyerfraternelbordeaux/" TargetMode="External"/><Relationship Id="rId144" Type="http://schemas.openxmlformats.org/officeDocument/2006/relationships/hyperlink" Target="http://bibliotheque.bordeaux.fr" TargetMode="External"/><Relationship Id="rId73" Type="http://schemas.openxmlformats.org/officeDocument/2006/relationships/hyperlink" Target="https://www.artigues-pres-bordeaux.fr/" TargetMode="External"/><Relationship Id="rId72" Type="http://schemas.openxmlformats.org/officeDocument/2006/relationships/hyperlink" Target="https://ambes.c3rb.org/" TargetMode="External"/><Relationship Id="rId75" Type="http://schemas.openxmlformats.org/officeDocument/2006/relationships/hyperlink" Target="https://unispheres.fr/" TargetMode="External"/><Relationship Id="rId74" Type="http://schemas.openxmlformats.org/officeDocument/2006/relationships/hyperlink" Target="https://www.facebook.com/artiguespresbordeaux/" TargetMode="External"/><Relationship Id="rId77" Type="http://schemas.openxmlformats.org/officeDocument/2006/relationships/hyperlink" Target="http://www.ville-floirac33.fr/la-democratie-participative/la-fabrique-citoyenne/" TargetMode="External"/><Relationship Id="rId76" Type="http://schemas.openxmlformats.org/officeDocument/2006/relationships/hyperlink" Target="https://www.facebook.com/assounispheres/" TargetMode="External"/><Relationship Id="rId79" Type="http://schemas.openxmlformats.org/officeDocument/2006/relationships/hyperlink" Target="https://asso-didee.org/" TargetMode="External"/><Relationship Id="rId78" Type="http://schemas.openxmlformats.org/officeDocument/2006/relationships/hyperlink" Target="https://unire.fr/" TargetMode="External"/><Relationship Id="rId71" Type="http://schemas.openxmlformats.org/officeDocument/2006/relationships/hyperlink" Target="https://bibliotheque.ville-ambaresetlagrave.fr/" TargetMode="External"/><Relationship Id="rId70" Type="http://schemas.openxmlformats.org/officeDocument/2006/relationships/hyperlink" Target="http://www.mjccl2v.fr/" TargetMode="External"/><Relationship Id="rId139" Type="http://schemas.openxmlformats.org/officeDocument/2006/relationships/hyperlink" Target="https://fr-fr.facebook.com/FAits-de-CoeurS-1603332716546381/" TargetMode="External"/><Relationship Id="rId138" Type="http://schemas.openxmlformats.org/officeDocument/2006/relationships/hyperlink" Target="https://www.faitsdecoeurs.org/" TargetMode="External"/><Relationship Id="rId137" Type="http://schemas.openxmlformats.org/officeDocument/2006/relationships/hyperlink" Target="https://www.ameli.fr/gironde/" TargetMode="External"/><Relationship Id="rId132" Type="http://schemas.openxmlformats.org/officeDocument/2006/relationships/hyperlink" Target="https://www.facebook.com/Astrolabelcier" TargetMode="External"/><Relationship Id="rId131" Type="http://schemas.openxmlformats.org/officeDocument/2006/relationships/hyperlink" Target="https://astrolabelcier.fr/" TargetMode="External"/><Relationship Id="rId130" Type="http://schemas.openxmlformats.org/officeDocument/2006/relationships/hyperlink" Target="https://www.facebook.com/centresanimationbordeaux/" TargetMode="External"/><Relationship Id="rId136" Type="http://schemas.openxmlformats.org/officeDocument/2006/relationships/hyperlink" Target="https://www.facebook.com/unadevfrance/" TargetMode="External"/><Relationship Id="rId135" Type="http://schemas.openxmlformats.org/officeDocument/2006/relationships/hyperlink" Target="https://www.unadev.com" TargetMode="External"/><Relationship Id="rId134" Type="http://schemas.openxmlformats.org/officeDocument/2006/relationships/hyperlink" Target="https://www.facebook.com/bibliotheques.bordeaux/" TargetMode="External"/><Relationship Id="rId133" Type="http://schemas.openxmlformats.org/officeDocument/2006/relationships/hyperlink" Target="http://bibliotheque.bordeaux.fr" TargetMode="External"/><Relationship Id="rId62" Type="http://schemas.openxmlformats.org/officeDocument/2006/relationships/hyperlink" Target="https://www.la-ressourcerie.com/" TargetMode="External"/><Relationship Id="rId61" Type="http://schemas.openxmlformats.org/officeDocument/2006/relationships/hyperlink" Target="https://gem-grain-de-cafe.business.site/" TargetMode="External"/><Relationship Id="rId64" Type="http://schemas.openxmlformats.org/officeDocument/2006/relationships/hyperlink" Target="https://www.pole-emploi.fr" TargetMode="External"/><Relationship Id="rId63" Type="http://schemas.openxmlformats.org/officeDocument/2006/relationships/hyperlink" Target="https://www.facebook.com/laressourceriebordeaux/" TargetMode="External"/><Relationship Id="rId66" Type="http://schemas.openxmlformats.org/officeDocument/2006/relationships/hyperlink" Target="https://www.facebook.com/GIAA.apiDv.Nouvelle.aquitaine" TargetMode="External"/><Relationship Id="rId172" Type="http://schemas.openxmlformats.org/officeDocument/2006/relationships/hyperlink" Target="https://levivierdespartages.wixsite.com/accueil" TargetMode="External"/><Relationship Id="rId65" Type="http://schemas.openxmlformats.org/officeDocument/2006/relationships/hyperlink" Target="http://www.giaa-aquitaine.fr/" TargetMode="External"/><Relationship Id="rId171" Type="http://schemas.openxmlformats.org/officeDocument/2006/relationships/hyperlink" Target="https://www.facebook.com/Merignac" TargetMode="External"/><Relationship Id="rId68" Type="http://schemas.openxmlformats.org/officeDocument/2006/relationships/hyperlink" Target="https://www.pole-emploi.fr" TargetMode="External"/><Relationship Id="rId170" Type="http://schemas.openxmlformats.org/officeDocument/2006/relationships/hyperlink" Target="http://www.merignac.com/" TargetMode="External"/><Relationship Id="rId67" Type="http://schemas.openxmlformats.org/officeDocument/2006/relationships/hyperlink" Target="https://www.pole-emploi.fr" TargetMode="External"/><Relationship Id="rId60" Type="http://schemas.openxmlformats.org/officeDocument/2006/relationships/hyperlink" Target="https://www.bordeaux.fr/p80983/le-centre-communal-d-action-sociale" TargetMode="External"/><Relationship Id="rId165" Type="http://schemas.openxmlformats.org/officeDocument/2006/relationships/hyperlink" Target="https://www.villenavedornon.fr/developpement-economie-emploi/aide-emploi/service-emploi-municipal/" TargetMode="External"/><Relationship Id="rId69" Type="http://schemas.openxmlformats.org/officeDocument/2006/relationships/hyperlink" Target="http://apf33.blogs.apf.asso.fr/" TargetMode="External"/><Relationship Id="rId164" Type="http://schemas.openxmlformats.org/officeDocument/2006/relationships/hyperlink" Target="https://mediatheque.villenavedornon.fr/exploitation/" TargetMode="External"/><Relationship Id="rId163" Type="http://schemas.openxmlformats.org/officeDocument/2006/relationships/hyperlink" Target="https://mediatheque.villenavedornon.fr/exploitation/" TargetMode="External"/><Relationship Id="rId162" Type="http://schemas.openxmlformats.org/officeDocument/2006/relationships/hyperlink" Target="https://portail.mediatheques.talence.fr" TargetMode="External"/><Relationship Id="rId169" Type="http://schemas.openxmlformats.org/officeDocument/2006/relationships/hyperlink" Target="http://bibliotheque.ville-lehaillan.fr" TargetMode="External"/><Relationship Id="rId168" Type="http://schemas.openxmlformats.org/officeDocument/2006/relationships/hyperlink" Target="https://www.facebook.com/mediathequeassiadjebarblanquefort" TargetMode="External"/><Relationship Id="rId167" Type="http://schemas.openxmlformats.org/officeDocument/2006/relationships/hyperlink" Target="http://mediatheque.ville-blanquefort.fr" TargetMode="External"/><Relationship Id="rId166" Type="http://schemas.openxmlformats.org/officeDocument/2006/relationships/hyperlink" Target="https://www.facebook.com/mairievillenavedornon/?fref=ts" TargetMode="External"/><Relationship Id="rId51" Type="http://schemas.openxmlformats.org/officeDocument/2006/relationships/hyperlink" Target="http://maisondesfemmes.net" TargetMode="External"/><Relationship Id="rId50" Type="http://schemas.openxmlformats.org/officeDocument/2006/relationships/hyperlink" Target="https://www.facebook.com/centresanimationbordeaux/" TargetMode="External"/><Relationship Id="rId53" Type="http://schemas.openxmlformats.org/officeDocument/2006/relationships/hyperlink" Target="http://bibliotheque.bordeaux.fr" TargetMode="External"/><Relationship Id="rId52" Type="http://schemas.openxmlformats.org/officeDocument/2006/relationships/hyperlink" Target="http://amicalebacalan.com/" TargetMode="External"/><Relationship Id="rId55" Type="http://schemas.openxmlformats.org/officeDocument/2006/relationships/hyperlink" Target="https://centresanimationbordeaux.fr/bordeaux-lac/" TargetMode="External"/><Relationship Id="rId161" Type="http://schemas.openxmlformats.org/officeDocument/2006/relationships/hyperlink" Target="https://www.facebook.com/Centre-social-de-Bagatelle-1671666503071790/" TargetMode="External"/><Relationship Id="rId54" Type="http://schemas.openxmlformats.org/officeDocument/2006/relationships/hyperlink" Target="https://www.facebook.com/bibliotheques.bordeaux/" TargetMode="External"/><Relationship Id="rId160" Type="http://schemas.openxmlformats.org/officeDocument/2006/relationships/hyperlink" Target="http://www.centre-social.com/" TargetMode="External"/><Relationship Id="rId57" Type="http://schemas.openxmlformats.org/officeDocument/2006/relationships/hyperlink" Target="http://www.csbn.org/" TargetMode="External"/><Relationship Id="rId56" Type="http://schemas.openxmlformats.org/officeDocument/2006/relationships/hyperlink" Target="https://www.facebook.com/centresanimationbordeaux/" TargetMode="External"/><Relationship Id="rId159" Type="http://schemas.openxmlformats.org/officeDocument/2006/relationships/hyperlink" Target="https://www.facebook.com/esaacsaige33/" TargetMode="External"/><Relationship Id="rId59" Type="http://schemas.openxmlformats.org/officeDocument/2006/relationships/hyperlink" Target="https://www.facebook.com/bibliotheques.bordeaux/" TargetMode="External"/><Relationship Id="rId154" Type="http://schemas.openxmlformats.org/officeDocument/2006/relationships/hyperlink" Target="https://lerocherdepalmer.fr/forum/" TargetMode="External"/><Relationship Id="rId58" Type="http://schemas.openxmlformats.org/officeDocument/2006/relationships/hyperlink" Target="http://bibliotheque.bordeaux.fr" TargetMode="External"/><Relationship Id="rId153" Type="http://schemas.openxmlformats.org/officeDocument/2006/relationships/hyperlink" Target="https://fr-fr.facebook.com/pimmsdecenon33150/" TargetMode="External"/><Relationship Id="rId152" Type="http://schemas.openxmlformats.org/officeDocument/2006/relationships/hyperlink" Target="https://www.pimms.org/" TargetMode="External"/><Relationship Id="rId151" Type="http://schemas.openxmlformats.org/officeDocument/2006/relationships/hyperlink" Target="https://www.facebook.com/lacollinecsc" TargetMode="External"/><Relationship Id="rId158" Type="http://schemas.openxmlformats.org/officeDocument/2006/relationships/hyperlink" Target="https://www.facebook.com/episolpessac/" TargetMode="External"/><Relationship Id="rId157" Type="http://schemas.openxmlformats.org/officeDocument/2006/relationships/hyperlink" Target="https://www.episolpessac.org/" TargetMode="External"/><Relationship Id="rId156" Type="http://schemas.openxmlformats.org/officeDocument/2006/relationships/hyperlink" Target="http://www.lamediathequedegradignan.fr" TargetMode="External"/><Relationship Id="rId155" Type="http://schemas.openxmlformats.org/officeDocument/2006/relationships/hyperlink" Target="https://www.facebook.com/forumduroch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3.25"/>
    <col customWidth="1" min="3" max="3" width="23.0"/>
    <col customWidth="1" min="6" max="6" width="23.0"/>
    <col customWidth="1" min="8" max="8" width="22.75"/>
    <col customWidth="1" min="32" max="32" width="32.88"/>
    <col customWidth="1" min="33" max="33" width="26.75"/>
    <col customWidth="1" min="39" max="39" width="13.75"/>
    <col customWidth="1" min="40" max="40" width="40.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c r="AJ1" s="2" t="s">
        <v>34</v>
      </c>
      <c r="AK1" s="2"/>
      <c r="AL1" s="2" t="s">
        <v>35</v>
      </c>
      <c r="AM1" s="2" t="s">
        <v>36</v>
      </c>
      <c r="AN1" s="2" t="s">
        <v>37</v>
      </c>
      <c r="AO1" s="2" t="s">
        <v>38</v>
      </c>
      <c r="AP1" s="2" t="s">
        <v>39</v>
      </c>
      <c r="AQ1" s="3"/>
      <c r="AR1" s="3"/>
    </row>
    <row r="2">
      <c r="A2" s="4" t="s">
        <v>40</v>
      </c>
      <c r="B2" s="5" t="s">
        <v>41</v>
      </c>
      <c r="C2" s="5" t="s">
        <v>42</v>
      </c>
      <c r="D2" s="5" t="s">
        <v>42</v>
      </c>
      <c r="E2" s="5" t="s">
        <v>43</v>
      </c>
      <c r="G2" s="5">
        <v>7.92E13</v>
      </c>
      <c r="H2" s="5" t="s">
        <v>44</v>
      </c>
      <c r="I2" s="5" t="s">
        <v>45</v>
      </c>
      <c r="J2" s="5">
        <v>38.0</v>
      </c>
      <c r="K2" s="5" t="s">
        <v>46</v>
      </c>
      <c r="L2" s="5">
        <v>33300.0</v>
      </c>
      <c r="M2" s="5">
        <v>33063.0</v>
      </c>
      <c r="N2" s="5" t="s">
        <v>47</v>
      </c>
      <c r="O2" s="5" t="s">
        <v>48</v>
      </c>
      <c r="P2" s="5" t="s">
        <v>49</v>
      </c>
      <c r="R2" s="5" t="s">
        <v>50</v>
      </c>
      <c r="S2" s="5" t="s">
        <v>51</v>
      </c>
      <c r="U2" s="5" t="s">
        <v>52</v>
      </c>
      <c r="V2" s="5">
        <v>6.46803329E8</v>
      </c>
      <c r="X2" s="5" t="s">
        <v>53</v>
      </c>
      <c r="Z2" s="5" t="s">
        <v>54</v>
      </c>
      <c r="AA2" s="6" t="s">
        <v>55</v>
      </c>
      <c r="AC2" s="5" t="s">
        <v>53</v>
      </c>
      <c r="AD2" s="5" t="s">
        <v>56</v>
      </c>
      <c r="AE2" s="5" t="s">
        <v>57</v>
      </c>
      <c r="AF2" s="5" t="s">
        <v>58</v>
      </c>
      <c r="AG2" s="5" t="s">
        <v>59</v>
      </c>
      <c r="AH2" s="5" t="s">
        <v>60</v>
      </c>
      <c r="AI2" s="7" t="str">
        <f t="shared" ref="AI2:AI126" si="1">left(AH2,8)</f>
        <v>Gratuit,</v>
      </c>
      <c r="AJ2" s="7" t="str">
        <f t="shared" ref="AJ2:AJ126" si="2">IF(AI2="gratuit","gratuit sans restriction","avec conditions")</f>
        <v>avec conditions</v>
      </c>
      <c r="AK2" s="7" t="str">
        <f t="shared" ref="AK2:AK126" si="3">IF(LEFT(AI2,8)="gratuit","gratuit sans restriction","avec conditions")</f>
        <v>avec conditions</v>
      </c>
      <c r="AM2" s="5" t="s">
        <v>61</v>
      </c>
      <c r="AN2" s="5" t="s">
        <v>62</v>
      </c>
      <c r="AP2" s="5" t="s">
        <v>63</v>
      </c>
    </row>
    <row r="3">
      <c r="A3" s="4" t="s">
        <v>64</v>
      </c>
      <c r="B3" s="5" t="s">
        <v>65</v>
      </c>
      <c r="C3" s="5" t="s">
        <v>66</v>
      </c>
      <c r="D3" s="5" t="s">
        <v>67</v>
      </c>
      <c r="E3" s="5" t="s">
        <v>43</v>
      </c>
      <c r="H3" s="5" t="s">
        <v>68</v>
      </c>
      <c r="I3" s="5" t="s">
        <v>69</v>
      </c>
      <c r="J3" s="5">
        <v>19.0</v>
      </c>
      <c r="K3" s="5" t="s">
        <v>70</v>
      </c>
      <c r="L3" s="5">
        <v>33300.0</v>
      </c>
      <c r="M3" s="5">
        <v>33063.0</v>
      </c>
      <c r="N3" s="5" t="s">
        <v>47</v>
      </c>
      <c r="O3" s="5" t="s">
        <v>48</v>
      </c>
      <c r="P3" s="5" t="s">
        <v>49</v>
      </c>
      <c r="R3" s="5" t="s">
        <v>71</v>
      </c>
      <c r="S3" s="5" t="s">
        <v>72</v>
      </c>
      <c r="U3" s="5" t="s">
        <v>52</v>
      </c>
      <c r="V3" s="5">
        <v>5.56376895E8</v>
      </c>
      <c r="X3" s="5" t="s">
        <v>73</v>
      </c>
      <c r="Z3" s="5" t="s">
        <v>74</v>
      </c>
      <c r="AA3" s="6" t="s">
        <v>75</v>
      </c>
      <c r="AB3" s="6" t="s">
        <v>76</v>
      </c>
      <c r="AC3" s="5" t="s">
        <v>73</v>
      </c>
      <c r="AD3" s="5" t="s">
        <v>77</v>
      </c>
      <c r="AE3" s="5" t="s">
        <v>78</v>
      </c>
      <c r="AF3" s="5" t="s">
        <v>58</v>
      </c>
      <c r="AG3" s="5" t="s">
        <v>79</v>
      </c>
      <c r="AH3" s="5" t="s">
        <v>80</v>
      </c>
      <c r="AI3" s="7" t="str">
        <f t="shared" si="1"/>
        <v>Payant</v>
      </c>
      <c r="AJ3" s="7" t="str">
        <f t="shared" si="2"/>
        <v>avec conditions</v>
      </c>
      <c r="AK3" s="7" t="str">
        <f t="shared" si="3"/>
        <v>avec conditions</v>
      </c>
      <c r="AM3" s="5" t="s">
        <v>61</v>
      </c>
      <c r="AN3" s="5" t="s">
        <v>81</v>
      </c>
      <c r="AP3" s="5" t="s">
        <v>82</v>
      </c>
    </row>
    <row r="4">
      <c r="A4" s="4" t="s">
        <v>83</v>
      </c>
      <c r="B4" s="5" t="s">
        <v>84</v>
      </c>
      <c r="C4" s="5" t="s">
        <v>85</v>
      </c>
      <c r="D4" s="5" t="s">
        <v>86</v>
      </c>
      <c r="E4" s="5" t="s">
        <v>87</v>
      </c>
      <c r="F4" s="5" t="s">
        <v>85</v>
      </c>
      <c r="H4" s="5" t="s">
        <v>88</v>
      </c>
      <c r="I4" s="5" t="s">
        <v>89</v>
      </c>
      <c r="J4" s="5">
        <v>5.0</v>
      </c>
      <c r="K4" s="5" t="s">
        <v>90</v>
      </c>
      <c r="L4" s="5">
        <v>33000.0</v>
      </c>
      <c r="M4" s="5">
        <v>33063.0</v>
      </c>
      <c r="N4" s="5" t="s">
        <v>47</v>
      </c>
      <c r="O4" s="5" t="s">
        <v>48</v>
      </c>
      <c r="P4" s="5" t="s">
        <v>49</v>
      </c>
      <c r="Q4" s="5" t="s">
        <v>91</v>
      </c>
      <c r="R4" s="5" t="s">
        <v>92</v>
      </c>
      <c r="S4" s="5" t="s">
        <v>93</v>
      </c>
      <c r="U4" s="5" t="s">
        <v>52</v>
      </c>
      <c r="V4" s="5">
        <v>3949.0</v>
      </c>
      <c r="X4" s="5" t="s">
        <v>94</v>
      </c>
      <c r="Z4" s="5" t="s">
        <v>95</v>
      </c>
      <c r="AA4" s="6" t="s">
        <v>96</v>
      </c>
      <c r="AC4" s="5" t="s">
        <v>94</v>
      </c>
      <c r="AD4" s="5" t="s">
        <v>97</v>
      </c>
      <c r="AE4" s="5" t="s">
        <v>98</v>
      </c>
      <c r="AF4" s="5" t="s">
        <v>58</v>
      </c>
      <c r="AG4" s="5" t="s">
        <v>79</v>
      </c>
      <c r="AH4" s="5" t="s">
        <v>99</v>
      </c>
      <c r="AI4" s="7" t="str">
        <f t="shared" si="1"/>
        <v>Gratuit</v>
      </c>
      <c r="AJ4" s="7" t="str">
        <f t="shared" si="2"/>
        <v>gratuit sans restriction</v>
      </c>
      <c r="AK4" s="7" t="str">
        <f t="shared" si="3"/>
        <v>gratuit sans restriction</v>
      </c>
      <c r="AM4" s="5" t="s">
        <v>100</v>
      </c>
      <c r="AN4" s="5" t="s">
        <v>101</v>
      </c>
      <c r="AP4" s="5" t="s">
        <v>102</v>
      </c>
    </row>
    <row r="5">
      <c r="A5" s="4" t="s">
        <v>103</v>
      </c>
      <c r="B5" s="5" t="s">
        <v>104</v>
      </c>
      <c r="C5" s="5" t="s">
        <v>42</v>
      </c>
      <c r="D5" s="5" t="s">
        <v>42</v>
      </c>
      <c r="E5" s="5" t="s">
        <v>43</v>
      </c>
      <c r="H5" s="5" t="s">
        <v>105</v>
      </c>
      <c r="I5" s="5" t="s">
        <v>106</v>
      </c>
      <c r="K5" s="5" t="s">
        <v>107</v>
      </c>
      <c r="L5" s="5">
        <v>33000.0</v>
      </c>
      <c r="M5" s="5">
        <v>33063.0</v>
      </c>
      <c r="N5" s="5" t="s">
        <v>47</v>
      </c>
      <c r="O5" s="5" t="s">
        <v>48</v>
      </c>
      <c r="P5" s="5" t="s">
        <v>49</v>
      </c>
      <c r="R5" s="5" t="s">
        <v>108</v>
      </c>
      <c r="S5" s="5" t="s">
        <v>109</v>
      </c>
      <c r="U5" s="5" t="s">
        <v>52</v>
      </c>
      <c r="V5" s="5">
        <v>5.57870257E8</v>
      </c>
      <c r="W5" s="5">
        <v>5.56089855E8</v>
      </c>
      <c r="X5" s="5" t="s">
        <v>110</v>
      </c>
      <c r="AA5" s="6" t="s">
        <v>111</v>
      </c>
      <c r="AB5" s="6" t="s">
        <v>112</v>
      </c>
      <c r="AC5" s="5" t="s">
        <v>110</v>
      </c>
      <c r="AD5" s="5" t="s">
        <v>113</v>
      </c>
      <c r="AE5" s="5" t="s">
        <v>57</v>
      </c>
      <c r="AF5" s="5" t="s">
        <v>58</v>
      </c>
      <c r="AG5" s="5" t="s">
        <v>114</v>
      </c>
      <c r="AH5" s="5" t="s">
        <v>80</v>
      </c>
      <c r="AI5" s="7" t="str">
        <f t="shared" si="1"/>
        <v>Payant</v>
      </c>
      <c r="AJ5" s="7" t="str">
        <f t="shared" si="2"/>
        <v>avec conditions</v>
      </c>
      <c r="AK5" s="7" t="str">
        <f t="shared" si="3"/>
        <v>avec conditions</v>
      </c>
      <c r="AM5" s="5" t="s">
        <v>61</v>
      </c>
      <c r="AN5" s="5" t="s">
        <v>115</v>
      </c>
      <c r="AP5" s="5" t="s">
        <v>116</v>
      </c>
    </row>
    <row r="6">
      <c r="A6" s="4" t="s">
        <v>117</v>
      </c>
      <c r="B6" s="5" t="s">
        <v>118</v>
      </c>
      <c r="C6" s="5" t="s">
        <v>119</v>
      </c>
      <c r="D6" s="5" t="s">
        <v>42</v>
      </c>
      <c r="E6" s="5" t="s">
        <v>43</v>
      </c>
      <c r="H6" s="5" t="s">
        <v>120</v>
      </c>
      <c r="I6" s="5" t="s">
        <v>121</v>
      </c>
      <c r="J6" s="5">
        <v>23.0</v>
      </c>
      <c r="K6" s="5" t="s">
        <v>122</v>
      </c>
      <c r="L6" s="5">
        <v>33300.0</v>
      </c>
      <c r="M6" s="5">
        <v>33063.0</v>
      </c>
      <c r="N6" s="5" t="s">
        <v>47</v>
      </c>
      <c r="O6" s="5" t="s">
        <v>48</v>
      </c>
      <c r="P6" s="5" t="s">
        <v>49</v>
      </c>
      <c r="R6" s="5" t="s">
        <v>123</v>
      </c>
      <c r="S6" s="5" t="s">
        <v>124</v>
      </c>
      <c r="U6" s="5" t="s">
        <v>52</v>
      </c>
      <c r="V6" s="5">
        <v>5.57871392E8</v>
      </c>
      <c r="X6" s="5" t="s">
        <v>125</v>
      </c>
      <c r="Z6" s="5" t="s">
        <v>126</v>
      </c>
      <c r="AA6" s="6" t="s">
        <v>127</v>
      </c>
      <c r="AB6" s="6" t="s">
        <v>128</v>
      </c>
      <c r="AC6" s="5" t="s">
        <v>125</v>
      </c>
      <c r="AD6" s="5" t="s">
        <v>129</v>
      </c>
      <c r="AE6" s="5" t="s">
        <v>130</v>
      </c>
      <c r="AF6" s="5" t="s">
        <v>58</v>
      </c>
      <c r="AG6" s="5" t="s">
        <v>79</v>
      </c>
      <c r="AH6" s="5" t="s">
        <v>99</v>
      </c>
      <c r="AI6" s="7" t="str">
        <f t="shared" si="1"/>
        <v>Gratuit</v>
      </c>
      <c r="AJ6" s="7" t="str">
        <f t="shared" si="2"/>
        <v>gratuit sans restriction</v>
      </c>
      <c r="AK6" s="7" t="str">
        <f t="shared" si="3"/>
        <v>gratuit sans restriction</v>
      </c>
      <c r="AL6" s="5" t="s">
        <v>131</v>
      </c>
      <c r="AM6" s="5" t="s">
        <v>100</v>
      </c>
      <c r="AN6" s="5" t="s">
        <v>132</v>
      </c>
      <c r="AO6" s="5" t="s">
        <v>133</v>
      </c>
      <c r="AP6" s="5" t="s">
        <v>134</v>
      </c>
    </row>
    <row r="7">
      <c r="A7" s="4" t="s">
        <v>135</v>
      </c>
      <c r="B7" s="5" t="s">
        <v>136</v>
      </c>
      <c r="C7" s="5" t="s">
        <v>137</v>
      </c>
      <c r="D7" s="5" t="s">
        <v>138</v>
      </c>
      <c r="E7" s="5" t="s">
        <v>87</v>
      </c>
      <c r="F7" s="5" t="s">
        <v>139</v>
      </c>
      <c r="G7" s="5">
        <v>2.13E13</v>
      </c>
      <c r="H7" s="5" t="s">
        <v>140</v>
      </c>
      <c r="I7" s="5" t="s">
        <v>141</v>
      </c>
      <c r="J7" s="5">
        <v>85.0</v>
      </c>
      <c r="K7" s="5" t="s">
        <v>142</v>
      </c>
      <c r="L7" s="5">
        <v>33000.0</v>
      </c>
      <c r="M7" s="5">
        <v>33063.0</v>
      </c>
      <c r="N7" s="5" t="s">
        <v>47</v>
      </c>
      <c r="O7" s="5" t="s">
        <v>48</v>
      </c>
      <c r="P7" s="5" t="s">
        <v>49</v>
      </c>
      <c r="R7" s="5" t="s">
        <v>143</v>
      </c>
      <c r="S7" s="5" t="s">
        <v>144</v>
      </c>
      <c r="U7" s="5" t="s">
        <v>52</v>
      </c>
      <c r="V7" s="5">
        <v>5.56103E8</v>
      </c>
      <c r="X7" s="5" t="s">
        <v>145</v>
      </c>
      <c r="Z7" s="5" t="s">
        <v>146</v>
      </c>
      <c r="AA7" s="6" t="s">
        <v>147</v>
      </c>
      <c r="AB7" s="6" t="s">
        <v>148</v>
      </c>
      <c r="AC7" s="5" t="s">
        <v>145</v>
      </c>
      <c r="AD7" s="5" t="s">
        <v>149</v>
      </c>
      <c r="AE7" s="5" t="s">
        <v>57</v>
      </c>
      <c r="AF7" s="5" t="s">
        <v>58</v>
      </c>
      <c r="AG7" s="5" t="s">
        <v>79</v>
      </c>
      <c r="AH7" s="5" t="s">
        <v>60</v>
      </c>
      <c r="AI7" s="7" t="str">
        <f t="shared" si="1"/>
        <v>Gratuit,</v>
      </c>
      <c r="AJ7" s="7" t="str">
        <f t="shared" si="2"/>
        <v>avec conditions</v>
      </c>
      <c r="AK7" s="7" t="str">
        <f t="shared" si="3"/>
        <v>avec conditions</v>
      </c>
      <c r="AL7" s="5" t="s">
        <v>131</v>
      </c>
      <c r="AM7" s="5" t="s">
        <v>100</v>
      </c>
      <c r="AN7" s="5" t="s">
        <v>150</v>
      </c>
      <c r="AP7" s="5" t="s">
        <v>151</v>
      </c>
    </row>
    <row r="8">
      <c r="A8" s="4" t="s">
        <v>152</v>
      </c>
      <c r="B8" s="5" t="s">
        <v>153</v>
      </c>
      <c r="C8" s="5" t="s">
        <v>42</v>
      </c>
      <c r="D8" s="5" t="s">
        <v>42</v>
      </c>
      <c r="E8" s="5" t="s">
        <v>43</v>
      </c>
      <c r="H8" s="5" t="s">
        <v>154</v>
      </c>
      <c r="I8" s="5" t="s">
        <v>155</v>
      </c>
      <c r="J8" s="5">
        <v>125.0</v>
      </c>
      <c r="K8" s="5" t="s">
        <v>156</v>
      </c>
      <c r="L8" s="5">
        <v>33000.0</v>
      </c>
      <c r="M8" s="5">
        <v>33063.0</v>
      </c>
      <c r="N8" s="5" t="s">
        <v>47</v>
      </c>
      <c r="O8" s="5" t="s">
        <v>48</v>
      </c>
      <c r="P8" s="5" t="s">
        <v>49</v>
      </c>
      <c r="R8" s="5" t="s">
        <v>157</v>
      </c>
      <c r="S8" s="5" t="s">
        <v>158</v>
      </c>
      <c r="U8" s="5" t="s">
        <v>52</v>
      </c>
      <c r="V8" s="5">
        <v>5.56560056E8</v>
      </c>
      <c r="X8" s="5" t="s">
        <v>159</v>
      </c>
      <c r="Z8" s="5" t="s">
        <v>160</v>
      </c>
      <c r="AA8" s="6" t="s">
        <v>161</v>
      </c>
      <c r="AB8" s="6" t="s">
        <v>162</v>
      </c>
      <c r="AC8" s="5" t="s">
        <v>159</v>
      </c>
      <c r="AD8" s="5" t="s">
        <v>163</v>
      </c>
      <c r="AE8" s="5" t="s">
        <v>164</v>
      </c>
      <c r="AF8" s="5" t="s">
        <v>58</v>
      </c>
      <c r="AG8" s="5" t="s">
        <v>79</v>
      </c>
      <c r="AH8" s="5" t="s">
        <v>99</v>
      </c>
      <c r="AI8" s="7" t="str">
        <f t="shared" si="1"/>
        <v>Gratuit</v>
      </c>
      <c r="AJ8" s="7" t="str">
        <f t="shared" si="2"/>
        <v>gratuit sans restriction</v>
      </c>
      <c r="AK8" s="7" t="str">
        <f t="shared" si="3"/>
        <v>gratuit sans restriction</v>
      </c>
      <c r="AL8" s="5" t="s">
        <v>131</v>
      </c>
      <c r="AM8" s="5" t="s">
        <v>61</v>
      </c>
      <c r="AN8" s="5" t="s">
        <v>165</v>
      </c>
      <c r="AO8" s="5" t="s">
        <v>166</v>
      </c>
      <c r="AP8" s="5" t="s">
        <v>167</v>
      </c>
    </row>
    <row r="9">
      <c r="A9" s="4" t="s">
        <v>168</v>
      </c>
      <c r="B9" s="5" t="s">
        <v>169</v>
      </c>
      <c r="C9" s="5" t="s">
        <v>170</v>
      </c>
      <c r="D9" s="5" t="s">
        <v>42</v>
      </c>
      <c r="E9" s="5" t="s">
        <v>43</v>
      </c>
      <c r="H9" s="5" t="s">
        <v>171</v>
      </c>
      <c r="I9" s="5" t="s">
        <v>172</v>
      </c>
      <c r="J9" s="5">
        <v>12.0</v>
      </c>
      <c r="K9" s="5" t="s">
        <v>173</v>
      </c>
      <c r="L9" s="5">
        <v>33000.0</v>
      </c>
      <c r="M9" s="5">
        <v>33063.0</v>
      </c>
      <c r="N9" s="5" t="s">
        <v>47</v>
      </c>
      <c r="O9" s="5" t="s">
        <v>48</v>
      </c>
      <c r="P9" s="5" t="s">
        <v>49</v>
      </c>
      <c r="Q9" s="5" t="s">
        <v>174</v>
      </c>
      <c r="R9" s="5" t="s">
        <v>175</v>
      </c>
      <c r="S9" s="5" t="s">
        <v>176</v>
      </c>
      <c r="U9" s="5" t="s">
        <v>52</v>
      </c>
      <c r="V9" s="5">
        <v>6.25049296E8</v>
      </c>
      <c r="X9" s="5" t="s">
        <v>177</v>
      </c>
      <c r="Z9" s="5" t="s">
        <v>178</v>
      </c>
      <c r="AA9" s="6" t="s">
        <v>179</v>
      </c>
      <c r="AB9" s="6" t="s">
        <v>180</v>
      </c>
      <c r="AC9" s="5" t="s">
        <v>177</v>
      </c>
      <c r="AD9" s="5" t="s">
        <v>181</v>
      </c>
      <c r="AE9" s="5" t="s">
        <v>182</v>
      </c>
      <c r="AF9" s="5" t="s">
        <v>58</v>
      </c>
      <c r="AG9" s="5" t="s">
        <v>79</v>
      </c>
      <c r="AH9" s="5" t="s">
        <v>60</v>
      </c>
      <c r="AI9" s="7" t="str">
        <f t="shared" si="1"/>
        <v>Gratuit,</v>
      </c>
      <c r="AJ9" s="7" t="str">
        <f t="shared" si="2"/>
        <v>avec conditions</v>
      </c>
      <c r="AK9" s="7" t="str">
        <f t="shared" si="3"/>
        <v>avec conditions</v>
      </c>
      <c r="AM9" s="5" t="s">
        <v>61</v>
      </c>
      <c r="AN9" s="5" t="s">
        <v>183</v>
      </c>
      <c r="AP9" s="5" t="s">
        <v>184</v>
      </c>
    </row>
    <row r="10">
      <c r="A10" s="4" t="s">
        <v>185</v>
      </c>
      <c r="B10" s="5" t="s">
        <v>186</v>
      </c>
      <c r="C10" s="5" t="s">
        <v>42</v>
      </c>
      <c r="D10" s="5" t="s">
        <v>42</v>
      </c>
      <c r="E10" s="5" t="s">
        <v>43</v>
      </c>
      <c r="H10" s="5" t="s">
        <v>187</v>
      </c>
      <c r="I10" s="5" t="s">
        <v>188</v>
      </c>
      <c r="J10" s="5">
        <v>27.0</v>
      </c>
      <c r="K10" s="5" t="s">
        <v>189</v>
      </c>
      <c r="L10" s="5">
        <v>33000.0</v>
      </c>
      <c r="M10" s="5">
        <v>33063.0</v>
      </c>
      <c r="N10" s="5" t="s">
        <v>47</v>
      </c>
      <c r="O10" s="5" t="s">
        <v>48</v>
      </c>
      <c r="P10" s="5" t="s">
        <v>49</v>
      </c>
      <c r="R10" s="5" t="s">
        <v>190</v>
      </c>
      <c r="S10" s="5" t="s">
        <v>191</v>
      </c>
      <c r="U10" s="5" t="s">
        <v>52</v>
      </c>
      <c r="V10" s="5">
        <v>5.56969663E8</v>
      </c>
      <c r="X10" s="5" t="s">
        <v>192</v>
      </c>
      <c r="Z10" s="5" t="s">
        <v>193</v>
      </c>
      <c r="AA10" s="6" t="s">
        <v>194</v>
      </c>
      <c r="AC10" s="5" t="s">
        <v>192</v>
      </c>
      <c r="AD10" s="5" t="s">
        <v>195</v>
      </c>
      <c r="AE10" s="5" t="s">
        <v>57</v>
      </c>
      <c r="AF10" s="5" t="s">
        <v>58</v>
      </c>
      <c r="AG10" s="5" t="s">
        <v>79</v>
      </c>
      <c r="AH10" s="5" t="s">
        <v>80</v>
      </c>
      <c r="AI10" s="7" t="str">
        <f t="shared" si="1"/>
        <v>Payant</v>
      </c>
      <c r="AJ10" s="7" t="str">
        <f t="shared" si="2"/>
        <v>avec conditions</v>
      </c>
      <c r="AK10" s="7" t="str">
        <f t="shared" si="3"/>
        <v>avec conditions</v>
      </c>
      <c r="AM10" s="5" t="s">
        <v>61</v>
      </c>
      <c r="AN10" s="5" t="s">
        <v>196</v>
      </c>
      <c r="AP10" s="5" t="s">
        <v>197</v>
      </c>
    </row>
    <row r="11">
      <c r="A11" s="4" t="s">
        <v>198</v>
      </c>
      <c r="B11" s="5" t="s">
        <v>199</v>
      </c>
      <c r="C11" s="5" t="s">
        <v>42</v>
      </c>
      <c r="D11" s="5" t="s">
        <v>42</v>
      </c>
      <c r="E11" s="5" t="s">
        <v>43</v>
      </c>
      <c r="H11" s="5" t="s">
        <v>200</v>
      </c>
      <c r="I11" s="5" t="s">
        <v>201</v>
      </c>
      <c r="J11" s="5">
        <v>66.0</v>
      </c>
      <c r="K11" s="5" t="s">
        <v>202</v>
      </c>
      <c r="L11" s="5">
        <v>33000.0</v>
      </c>
      <c r="M11" s="5">
        <v>33063.0</v>
      </c>
      <c r="N11" s="5" t="s">
        <v>47</v>
      </c>
      <c r="O11" s="5" t="s">
        <v>48</v>
      </c>
      <c r="P11" s="5" t="s">
        <v>49</v>
      </c>
      <c r="R11" s="5" t="s">
        <v>203</v>
      </c>
      <c r="S11" s="5" t="s">
        <v>204</v>
      </c>
      <c r="U11" s="5" t="s">
        <v>52</v>
      </c>
      <c r="V11" s="5">
        <v>5.56522326E8</v>
      </c>
      <c r="X11" s="5" t="s">
        <v>205</v>
      </c>
      <c r="Z11" s="5" t="s">
        <v>206</v>
      </c>
      <c r="AA11" s="6" t="s">
        <v>207</v>
      </c>
      <c r="AC11" s="5" t="s">
        <v>205</v>
      </c>
      <c r="AD11" s="5" t="s">
        <v>208</v>
      </c>
      <c r="AE11" s="5" t="s">
        <v>98</v>
      </c>
      <c r="AF11" s="5" t="s">
        <v>58</v>
      </c>
      <c r="AG11" s="5" t="s">
        <v>59</v>
      </c>
      <c r="AH11" s="5" t="s">
        <v>80</v>
      </c>
      <c r="AI11" s="7" t="str">
        <f t="shared" si="1"/>
        <v>Payant</v>
      </c>
      <c r="AJ11" s="7" t="str">
        <f t="shared" si="2"/>
        <v>avec conditions</v>
      </c>
      <c r="AK11" s="7" t="str">
        <f t="shared" si="3"/>
        <v>avec conditions</v>
      </c>
      <c r="AM11" s="5" t="s">
        <v>61</v>
      </c>
      <c r="AN11" s="5" t="s">
        <v>209</v>
      </c>
      <c r="AP11" s="5" t="s">
        <v>210</v>
      </c>
    </row>
    <row r="12">
      <c r="A12" s="4" t="s">
        <v>211</v>
      </c>
      <c r="B12" s="5" t="s">
        <v>212</v>
      </c>
      <c r="C12" s="5" t="s">
        <v>66</v>
      </c>
      <c r="D12" s="5" t="s">
        <v>213</v>
      </c>
      <c r="E12" s="5" t="s">
        <v>43</v>
      </c>
      <c r="H12" s="5" t="s">
        <v>214</v>
      </c>
      <c r="I12" s="5" t="s">
        <v>215</v>
      </c>
      <c r="J12" s="5">
        <v>77.0</v>
      </c>
      <c r="K12" s="5" t="s">
        <v>216</v>
      </c>
      <c r="L12" s="5">
        <v>33000.0</v>
      </c>
      <c r="M12" s="5">
        <v>33063.0</v>
      </c>
      <c r="N12" s="5" t="s">
        <v>47</v>
      </c>
      <c r="O12" s="5" t="s">
        <v>48</v>
      </c>
      <c r="P12" s="5" t="s">
        <v>49</v>
      </c>
      <c r="R12" s="5" t="s">
        <v>217</v>
      </c>
      <c r="S12" s="5" t="s">
        <v>218</v>
      </c>
      <c r="U12" s="5" t="s">
        <v>52</v>
      </c>
      <c r="V12" s="5">
        <v>5.57657539E8</v>
      </c>
      <c r="X12" s="5" t="s">
        <v>219</v>
      </c>
      <c r="Z12" s="5" t="s">
        <v>220</v>
      </c>
      <c r="AA12" s="6" t="s">
        <v>221</v>
      </c>
      <c r="AB12" s="6" t="s">
        <v>222</v>
      </c>
      <c r="AC12" s="5" t="s">
        <v>219</v>
      </c>
      <c r="AE12" s="5" t="s">
        <v>223</v>
      </c>
      <c r="AF12" s="5" t="s">
        <v>58</v>
      </c>
      <c r="AG12" s="5" t="s">
        <v>59</v>
      </c>
      <c r="AH12" s="5" t="s">
        <v>80</v>
      </c>
      <c r="AI12" s="7" t="str">
        <f t="shared" si="1"/>
        <v>Payant</v>
      </c>
      <c r="AJ12" s="7" t="str">
        <f t="shared" si="2"/>
        <v>avec conditions</v>
      </c>
      <c r="AK12" s="7" t="str">
        <f t="shared" si="3"/>
        <v>avec conditions</v>
      </c>
      <c r="AM12" s="5" t="s">
        <v>61</v>
      </c>
      <c r="AN12" s="5" t="s">
        <v>224</v>
      </c>
      <c r="AP12" s="5" t="s">
        <v>225</v>
      </c>
    </row>
    <row r="13">
      <c r="A13" s="4" t="s">
        <v>226</v>
      </c>
      <c r="B13" s="5" t="s">
        <v>227</v>
      </c>
      <c r="C13" s="5" t="s">
        <v>137</v>
      </c>
      <c r="D13" s="5" t="s">
        <v>138</v>
      </c>
      <c r="E13" s="5" t="s">
        <v>87</v>
      </c>
      <c r="F13" s="5" t="s">
        <v>139</v>
      </c>
      <c r="G13" s="5">
        <v>2.13E13</v>
      </c>
      <c r="H13" s="5" t="s">
        <v>228</v>
      </c>
      <c r="I13" s="5" t="s">
        <v>229</v>
      </c>
      <c r="J13" s="5">
        <v>10.0</v>
      </c>
      <c r="K13" s="5" t="s">
        <v>230</v>
      </c>
      <c r="L13" s="5">
        <v>33800.0</v>
      </c>
      <c r="M13" s="5">
        <v>33063.0</v>
      </c>
      <c r="N13" s="5" t="s">
        <v>47</v>
      </c>
      <c r="O13" s="5" t="s">
        <v>48</v>
      </c>
      <c r="P13" s="5" t="s">
        <v>49</v>
      </c>
      <c r="R13" s="5" t="s">
        <v>231</v>
      </c>
      <c r="S13" s="5" t="s">
        <v>232</v>
      </c>
      <c r="U13" s="5" t="s">
        <v>52</v>
      </c>
      <c r="V13" s="5">
        <v>5.56911879E8</v>
      </c>
      <c r="X13" s="5" t="s">
        <v>233</v>
      </c>
      <c r="Z13" s="5" t="s">
        <v>146</v>
      </c>
      <c r="AA13" s="6" t="s">
        <v>147</v>
      </c>
      <c r="AB13" s="6" t="s">
        <v>148</v>
      </c>
      <c r="AC13" s="5" t="s">
        <v>233</v>
      </c>
      <c r="AD13" s="5" t="s">
        <v>234</v>
      </c>
      <c r="AE13" s="5" t="s">
        <v>57</v>
      </c>
      <c r="AF13" s="5" t="s">
        <v>58</v>
      </c>
      <c r="AG13" s="5" t="s">
        <v>79</v>
      </c>
      <c r="AH13" s="5" t="s">
        <v>60</v>
      </c>
      <c r="AI13" s="7" t="str">
        <f t="shared" si="1"/>
        <v>Gratuit,</v>
      </c>
      <c r="AJ13" s="7" t="str">
        <f t="shared" si="2"/>
        <v>avec conditions</v>
      </c>
      <c r="AK13" s="7" t="str">
        <f t="shared" si="3"/>
        <v>avec conditions</v>
      </c>
      <c r="AL13" s="5" t="s">
        <v>131</v>
      </c>
      <c r="AM13" s="5" t="s">
        <v>61</v>
      </c>
      <c r="AN13" s="5" t="s">
        <v>235</v>
      </c>
      <c r="AP13" s="5" t="s">
        <v>236</v>
      </c>
    </row>
    <row r="14">
      <c r="A14" s="4" t="s">
        <v>237</v>
      </c>
      <c r="B14" s="5" t="s">
        <v>238</v>
      </c>
      <c r="C14" s="5" t="s">
        <v>137</v>
      </c>
      <c r="D14" s="5" t="s">
        <v>138</v>
      </c>
      <c r="E14" s="5" t="s">
        <v>87</v>
      </c>
      <c r="F14" s="5" t="s">
        <v>139</v>
      </c>
      <c r="G14" s="5">
        <v>2.13E13</v>
      </c>
      <c r="H14" s="5" t="s">
        <v>239</v>
      </c>
      <c r="I14" s="5" t="s">
        <v>240</v>
      </c>
      <c r="J14" s="5">
        <v>1.0</v>
      </c>
      <c r="K14" s="5" t="s">
        <v>241</v>
      </c>
      <c r="L14" s="5">
        <v>33800.0</v>
      </c>
      <c r="M14" s="5">
        <v>33063.0</v>
      </c>
      <c r="N14" s="5" t="s">
        <v>47</v>
      </c>
      <c r="O14" s="5" t="s">
        <v>48</v>
      </c>
      <c r="P14" s="5" t="s">
        <v>49</v>
      </c>
      <c r="R14" s="5" t="s">
        <v>242</v>
      </c>
      <c r="S14" s="5" t="s">
        <v>243</v>
      </c>
      <c r="U14" s="5" t="s">
        <v>52</v>
      </c>
      <c r="V14" s="5">
        <v>5.24996012E8</v>
      </c>
      <c r="X14" s="5" t="s">
        <v>233</v>
      </c>
      <c r="Z14" s="5" t="s">
        <v>146</v>
      </c>
      <c r="AA14" s="6" t="s">
        <v>147</v>
      </c>
      <c r="AB14" s="6" t="s">
        <v>148</v>
      </c>
      <c r="AC14" s="5" t="s">
        <v>233</v>
      </c>
      <c r="AD14" s="5" t="s">
        <v>234</v>
      </c>
      <c r="AE14" s="5" t="s">
        <v>57</v>
      </c>
      <c r="AF14" s="5" t="s">
        <v>58</v>
      </c>
      <c r="AG14" s="5" t="s">
        <v>79</v>
      </c>
      <c r="AH14" s="5" t="s">
        <v>60</v>
      </c>
      <c r="AI14" s="7" t="str">
        <f t="shared" si="1"/>
        <v>Gratuit,</v>
      </c>
      <c r="AJ14" s="7" t="str">
        <f t="shared" si="2"/>
        <v>avec conditions</v>
      </c>
      <c r="AK14" s="7" t="str">
        <f t="shared" si="3"/>
        <v>avec conditions</v>
      </c>
      <c r="AL14" s="5" t="s">
        <v>131</v>
      </c>
      <c r="AM14" s="5" t="s">
        <v>61</v>
      </c>
      <c r="AN14" s="5" t="s">
        <v>244</v>
      </c>
      <c r="AP14" s="5" t="s">
        <v>245</v>
      </c>
    </row>
    <row r="15">
      <c r="A15" s="4" t="s">
        <v>246</v>
      </c>
      <c r="B15" s="5" t="s">
        <v>247</v>
      </c>
      <c r="C15" s="5" t="s">
        <v>137</v>
      </c>
      <c r="D15" s="5" t="s">
        <v>138</v>
      </c>
      <c r="E15" s="5" t="s">
        <v>87</v>
      </c>
      <c r="F15" s="5" t="s">
        <v>139</v>
      </c>
      <c r="G15" s="5">
        <v>2.13E13</v>
      </c>
      <c r="H15" s="5" t="s">
        <v>248</v>
      </c>
      <c r="I15" s="5" t="s">
        <v>249</v>
      </c>
      <c r="J15" s="5">
        <v>21.0</v>
      </c>
      <c r="K15" s="5" t="s">
        <v>250</v>
      </c>
      <c r="L15" s="5">
        <v>33200.0</v>
      </c>
      <c r="M15" s="5">
        <v>33063.0</v>
      </c>
      <c r="N15" s="5" t="s">
        <v>47</v>
      </c>
      <c r="O15" s="5" t="s">
        <v>48</v>
      </c>
      <c r="P15" s="5" t="s">
        <v>49</v>
      </c>
      <c r="R15" s="5" t="s">
        <v>251</v>
      </c>
      <c r="S15" s="5" t="s">
        <v>252</v>
      </c>
      <c r="U15" s="5" t="s">
        <v>52</v>
      </c>
      <c r="V15" s="5">
        <v>5.2457676E8</v>
      </c>
      <c r="X15" s="5" t="s">
        <v>253</v>
      </c>
      <c r="Z15" s="5" t="s">
        <v>146</v>
      </c>
      <c r="AA15" s="6" t="s">
        <v>147</v>
      </c>
      <c r="AB15" s="6" t="s">
        <v>148</v>
      </c>
      <c r="AC15" s="5" t="s">
        <v>253</v>
      </c>
      <c r="AD15" s="5" t="s">
        <v>254</v>
      </c>
      <c r="AE15" s="5" t="s">
        <v>57</v>
      </c>
      <c r="AF15" s="5" t="s">
        <v>58</v>
      </c>
      <c r="AG15" s="5" t="s">
        <v>79</v>
      </c>
      <c r="AH15" s="5" t="s">
        <v>60</v>
      </c>
      <c r="AI15" s="7" t="str">
        <f t="shared" si="1"/>
        <v>Gratuit,</v>
      </c>
      <c r="AJ15" s="7" t="str">
        <f t="shared" si="2"/>
        <v>avec conditions</v>
      </c>
      <c r="AK15" s="7" t="str">
        <f t="shared" si="3"/>
        <v>avec conditions</v>
      </c>
      <c r="AL15" s="5" t="s">
        <v>131</v>
      </c>
      <c r="AM15" s="5" t="s">
        <v>61</v>
      </c>
      <c r="AN15" s="5" t="s">
        <v>255</v>
      </c>
      <c r="AP15" s="5" t="s">
        <v>256</v>
      </c>
    </row>
    <row r="16">
      <c r="A16" s="4" t="s">
        <v>257</v>
      </c>
      <c r="B16" s="5" t="s">
        <v>258</v>
      </c>
      <c r="C16" s="5" t="s">
        <v>42</v>
      </c>
      <c r="D16" s="5" t="s">
        <v>42</v>
      </c>
      <c r="E16" s="5" t="s">
        <v>43</v>
      </c>
      <c r="H16" s="5" t="s">
        <v>259</v>
      </c>
      <c r="I16" s="5" t="s">
        <v>260</v>
      </c>
      <c r="J16" s="5">
        <v>72.0</v>
      </c>
      <c r="K16" s="5" t="s">
        <v>261</v>
      </c>
      <c r="L16" s="5">
        <v>33370.0</v>
      </c>
      <c r="M16" s="5">
        <v>33013.0</v>
      </c>
      <c r="N16" s="5" t="s">
        <v>262</v>
      </c>
      <c r="O16" s="5" t="s">
        <v>48</v>
      </c>
      <c r="P16" s="5" t="s">
        <v>49</v>
      </c>
      <c r="R16" s="5" t="s">
        <v>263</v>
      </c>
      <c r="S16" s="5" t="s">
        <v>264</v>
      </c>
      <c r="U16" s="5" t="s">
        <v>52</v>
      </c>
      <c r="V16" s="5">
        <v>5.56445225E8</v>
      </c>
      <c r="X16" s="5" t="s">
        <v>265</v>
      </c>
      <c r="Z16" s="5" t="s">
        <v>266</v>
      </c>
      <c r="AB16" s="6" t="s">
        <v>267</v>
      </c>
      <c r="AC16" s="5" t="s">
        <v>265</v>
      </c>
      <c r="AD16" s="5" t="s">
        <v>268</v>
      </c>
      <c r="AE16" s="5" t="s">
        <v>269</v>
      </c>
      <c r="AG16" s="5" t="s">
        <v>59</v>
      </c>
      <c r="AH16" s="5" t="s">
        <v>60</v>
      </c>
      <c r="AI16" s="7" t="str">
        <f t="shared" si="1"/>
        <v>Gratuit,</v>
      </c>
      <c r="AJ16" s="7" t="str">
        <f t="shared" si="2"/>
        <v>avec conditions</v>
      </c>
      <c r="AK16" s="7" t="str">
        <f t="shared" si="3"/>
        <v>avec conditions</v>
      </c>
      <c r="AL16" s="5" t="s">
        <v>131</v>
      </c>
      <c r="AM16" s="5" t="s">
        <v>61</v>
      </c>
      <c r="AN16" s="5" t="s">
        <v>270</v>
      </c>
      <c r="AP16" s="5" t="s">
        <v>271</v>
      </c>
    </row>
    <row r="17">
      <c r="A17" s="4" t="s">
        <v>272</v>
      </c>
      <c r="B17" s="5" t="s">
        <v>273</v>
      </c>
      <c r="C17" s="5" t="s">
        <v>274</v>
      </c>
      <c r="D17" s="5" t="s">
        <v>138</v>
      </c>
      <c r="E17" s="5" t="s">
        <v>87</v>
      </c>
      <c r="H17" s="5" t="s">
        <v>275</v>
      </c>
      <c r="I17" s="5" t="s">
        <v>276</v>
      </c>
      <c r="K17" s="5" t="s">
        <v>276</v>
      </c>
      <c r="L17" s="5">
        <v>33560.0</v>
      </c>
      <c r="N17" s="5" t="s">
        <v>277</v>
      </c>
      <c r="O17" s="5" t="s">
        <v>48</v>
      </c>
      <c r="P17" s="5" t="s">
        <v>49</v>
      </c>
      <c r="U17" s="5" t="s">
        <v>52</v>
      </c>
      <c r="V17" s="5">
        <v>5.57776887E8</v>
      </c>
      <c r="X17" s="5" t="s">
        <v>278</v>
      </c>
      <c r="Z17" s="5" t="s">
        <v>279</v>
      </c>
      <c r="AA17" s="6" t="s">
        <v>280</v>
      </c>
      <c r="AC17" s="5" t="s">
        <v>278</v>
      </c>
      <c r="AD17" s="5" t="s">
        <v>281</v>
      </c>
      <c r="AE17" s="5" t="s">
        <v>282</v>
      </c>
      <c r="AF17" s="5" t="s">
        <v>58</v>
      </c>
      <c r="AG17" s="5" t="s">
        <v>114</v>
      </c>
      <c r="AH17" s="5" t="s">
        <v>99</v>
      </c>
      <c r="AI17" s="7" t="str">
        <f t="shared" si="1"/>
        <v>Gratuit</v>
      </c>
      <c r="AJ17" s="7" t="str">
        <f t="shared" si="2"/>
        <v>gratuit sans restriction</v>
      </c>
      <c r="AK17" s="7" t="str">
        <f t="shared" si="3"/>
        <v>gratuit sans restriction</v>
      </c>
      <c r="AL17" s="5" t="s">
        <v>131</v>
      </c>
      <c r="AM17" s="5" t="s">
        <v>100</v>
      </c>
      <c r="AN17" s="5" t="s">
        <v>283</v>
      </c>
      <c r="AO17" s="5" t="s">
        <v>133</v>
      </c>
    </row>
    <row r="18">
      <c r="A18" s="4" t="s">
        <v>284</v>
      </c>
      <c r="B18" s="5" t="s">
        <v>285</v>
      </c>
      <c r="C18" s="5" t="s">
        <v>274</v>
      </c>
      <c r="D18" s="5" t="s">
        <v>138</v>
      </c>
      <c r="E18" s="5" t="s">
        <v>87</v>
      </c>
      <c r="F18" s="5" t="s">
        <v>286</v>
      </c>
      <c r="H18" s="5" t="s">
        <v>287</v>
      </c>
      <c r="I18" s="5" t="s">
        <v>288</v>
      </c>
      <c r="J18" s="5">
        <v>11.0</v>
      </c>
      <c r="K18" s="5" t="s">
        <v>289</v>
      </c>
      <c r="L18" s="5">
        <v>33150.0</v>
      </c>
      <c r="M18" s="5">
        <v>33119.0</v>
      </c>
      <c r="N18" s="5" t="s">
        <v>290</v>
      </c>
      <c r="O18" s="5" t="s">
        <v>48</v>
      </c>
      <c r="P18" s="5" t="s">
        <v>49</v>
      </c>
      <c r="Q18" s="5" t="s">
        <v>291</v>
      </c>
      <c r="R18" s="5" t="s">
        <v>292</v>
      </c>
      <c r="S18" s="5" t="s">
        <v>293</v>
      </c>
      <c r="U18" s="5" t="s">
        <v>52</v>
      </c>
      <c r="V18" s="5">
        <v>5.56678066E8</v>
      </c>
      <c r="X18" s="5" t="s">
        <v>294</v>
      </c>
      <c r="Z18" s="5" t="s">
        <v>295</v>
      </c>
      <c r="AA18" s="6" t="s">
        <v>296</v>
      </c>
      <c r="AB18" s="6" t="s">
        <v>297</v>
      </c>
      <c r="AC18" s="5" t="s">
        <v>294</v>
      </c>
      <c r="AD18" s="5" t="s">
        <v>298</v>
      </c>
      <c r="AE18" s="5" t="s">
        <v>57</v>
      </c>
      <c r="AF18" s="5" t="s">
        <v>58</v>
      </c>
      <c r="AG18" s="5" t="s">
        <v>79</v>
      </c>
      <c r="AH18" s="5" t="s">
        <v>60</v>
      </c>
      <c r="AI18" s="7" t="str">
        <f t="shared" si="1"/>
        <v>Gratuit,</v>
      </c>
      <c r="AJ18" s="7" t="str">
        <f t="shared" si="2"/>
        <v>avec conditions</v>
      </c>
      <c r="AK18" s="7" t="str">
        <f t="shared" si="3"/>
        <v>avec conditions</v>
      </c>
      <c r="AL18" s="5" t="s">
        <v>131</v>
      </c>
      <c r="AM18" s="5" t="s">
        <v>61</v>
      </c>
      <c r="AN18" s="5" t="s">
        <v>299</v>
      </c>
      <c r="AP18" s="5" t="s">
        <v>300</v>
      </c>
    </row>
    <row r="19">
      <c r="A19" s="4" t="s">
        <v>301</v>
      </c>
      <c r="B19" s="5" t="s">
        <v>302</v>
      </c>
      <c r="C19" s="5" t="s">
        <v>42</v>
      </c>
      <c r="D19" s="5" t="s">
        <v>42</v>
      </c>
      <c r="E19" s="5" t="s">
        <v>43</v>
      </c>
      <c r="H19" s="5" t="s">
        <v>303</v>
      </c>
      <c r="I19" s="5" t="s">
        <v>304</v>
      </c>
      <c r="J19" s="5">
        <v>5.0</v>
      </c>
      <c r="K19" s="5" t="s">
        <v>305</v>
      </c>
      <c r="L19" s="5">
        <v>33310.0</v>
      </c>
      <c r="M19" s="5">
        <v>33249.0</v>
      </c>
      <c r="N19" s="5" t="s">
        <v>306</v>
      </c>
      <c r="O19" s="5" t="s">
        <v>48</v>
      </c>
      <c r="P19" s="5" t="s">
        <v>49</v>
      </c>
      <c r="R19" s="5" t="s">
        <v>307</v>
      </c>
      <c r="S19" s="5" t="s">
        <v>308</v>
      </c>
      <c r="U19" s="5" t="s">
        <v>52</v>
      </c>
      <c r="V19" s="5">
        <v>5.47330569E8</v>
      </c>
      <c r="X19" s="5" t="s">
        <v>309</v>
      </c>
      <c r="Z19" s="5" t="s">
        <v>310</v>
      </c>
      <c r="AB19" s="6" t="s">
        <v>311</v>
      </c>
      <c r="AC19" s="5" t="s">
        <v>309</v>
      </c>
      <c r="AD19" s="5" t="s">
        <v>312</v>
      </c>
      <c r="AE19" s="5" t="s">
        <v>313</v>
      </c>
      <c r="AF19" s="5" t="s">
        <v>58</v>
      </c>
      <c r="AG19" s="5" t="s">
        <v>114</v>
      </c>
      <c r="AH19" s="5" t="s">
        <v>314</v>
      </c>
      <c r="AI19" s="7" t="str">
        <f t="shared" si="1"/>
        <v>Gratuit,</v>
      </c>
      <c r="AJ19" s="7" t="str">
        <f t="shared" si="2"/>
        <v>avec conditions</v>
      </c>
      <c r="AK19" s="7" t="str">
        <f t="shared" si="3"/>
        <v>avec conditions</v>
      </c>
      <c r="AM19" s="5" t="s">
        <v>61</v>
      </c>
      <c r="AN19" s="5" t="s">
        <v>315</v>
      </c>
      <c r="AP19" s="5" t="s">
        <v>316</v>
      </c>
    </row>
    <row r="20">
      <c r="A20" s="4" t="s">
        <v>317</v>
      </c>
      <c r="B20" s="5" t="s">
        <v>318</v>
      </c>
      <c r="C20" s="5" t="s">
        <v>42</v>
      </c>
      <c r="D20" s="5" t="s">
        <v>42</v>
      </c>
      <c r="E20" s="5" t="s">
        <v>43</v>
      </c>
      <c r="H20" s="5" t="s">
        <v>319</v>
      </c>
      <c r="I20" s="5" t="s">
        <v>320</v>
      </c>
      <c r="J20" s="5" t="s">
        <v>321</v>
      </c>
      <c r="K20" s="5" t="s">
        <v>305</v>
      </c>
      <c r="L20" s="5">
        <v>33310.0</v>
      </c>
      <c r="M20" s="5">
        <v>33249.0</v>
      </c>
      <c r="N20" s="5" t="s">
        <v>306</v>
      </c>
      <c r="O20" s="5" t="s">
        <v>48</v>
      </c>
      <c r="P20" s="5" t="s">
        <v>49</v>
      </c>
      <c r="R20" s="5" t="s">
        <v>322</v>
      </c>
      <c r="S20" s="5" t="s">
        <v>323</v>
      </c>
      <c r="U20" s="5" t="s">
        <v>52</v>
      </c>
      <c r="V20" s="5">
        <v>5.5777772E8</v>
      </c>
      <c r="X20" s="5" t="s">
        <v>324</v>
      </c>
      <c r="Z20" s="5" t="s">
        <v>325</v>
      </c>
      <c r="AA20" s="6" t="s">
        <v>326</v>
      </c>
      <c r="AC20" s="5" t="s">
        <v>324</v>
      </c>
      <c r="AD20" s="5" t="s">
        <v>327</v>
      </c>
      <c r="AE20" s="5" t="s">
        <v>328</v>
      </c>
      <c r="AF20" s="5" t="s">
        <v>58</v>
      </c>
      <c r="AG20" s="5" t="s">
        <v>114</v>
      </c>
      <c r="AH20" s="5" t="s">
        <v>99</v>
      </c>
      <c r="AI20" s="7" t="str">
        <f t="shared" si="1"/>
        <v>Gratuit</v>
      </c>
      <c r="AJ20" s="7" t="str">
        <f t="shared" si="2"/>
        <v>gratuit sans restriction</v>
      </c>
      <c r="AK20" s="7" t="str">
        <f t="shared" si="3"/>
        <v>gratuit sans restriction</v>
      </c>
      <c r="AL20" s="5" t="s">
        <v>131</v>
      </c>
      <c r="AM20" s="5" t="s">
        <v>61</v>
      </c>
      <c r="AN20" s="5" t="s">
        <v>329</v>
      </c>
      <c r="AP20" s="5" t="s">
        <v>330</v>
      </c>
    </row>
    <row r="21">
      <c r="A21" s="4" t="s">
        <v>331</v>
      </c>
      <c r="B21" s="5" t="s">
        <v>332</v>
      </c>
      <c r="C21" s="5" t="s">
        <v>66</v>
      </c>
      <c r="D21" s="5" t="s">
        <v>86</v>
      </c>
      <c r="E21" s="5" t="s">
        <v>43</v>
      </c>
      <c r="H21" s="5" t="s">
        <v>333</v>
      </c>
      <c r="I21" s="5" t="s">
        <v>334</v>
      </c>
      <c r="J21" s="5">
        <v>12.0</v>
      </c>
      <c r="K21" s="5" t="s">
        <v>335</v>
      </c>
      <c r="L21" s="5">
        <v>33130.0</v>
      </c>
      <c r="M21" s="5">
        <v>33039.0</v>
      </c>
      <c r="N21" s="5" t="s">
        <v>336</v>
      </c>
      <c r="O21" s="5" t="s">
        <v>48</v>
      </c>
      <c r="P21" s="5" t="s">
        <v>49</v>
      </c>
      <c r="R21" s="5" t="s">
        <v>337</v>
      </c>
      <c r="S21" s="5" t="s">
        <v>338</v>
      </c>
      <c r="U21" s="5" t="s">
        <v>52</v>
      </c>
      <c r="V21" s="5">
        <v>5.57042471E8</v>
      </c>
      <c r="W21" s="5">
        <v>7.85103325E8</v>
      </c>
      <c r="X21" s="5" t="s">
        <v>339</v>
      </c>
      <c r="Z21" s="5" t="s">
        <v>340</v>
      </c>
      <c r="AA21" s="6" t="s">
        <v>341</v>
      </c>
      <c r="AC21" s="5" t="s">
        <v>339</v>
      </c>
      <c r="AD21" s="5" t="s">
        <v>342</v>
      </c>
      <c r="AE21" s="5" t="s">
        <v>57</v>
      </c>
      <c r="AF21" s="5" t="s">
        <v>58</v>
      </c>
      <c r="AG21" s="5" t="s">
        <v>114</v>
      </c>
      <c r="AH21" s="5" t="s">
        <v>80</v>
      </c>
      <c r="AI21" s="7" t="str">
        <f t="shared" si="1"/>
        <v>Payant</v>
      </c>
      <c r="AJ21" s="7" t="str">
        <f t="shared" si="2"/>
        <v>avec conditions</v>
      </c>
      <c r="AK21" s="7" t="str">
        <f t="shared" si="3"/>
        <v>avec conditions</v>
      </c>
      <c r="AL21" s="5" t="s">
        <v>131</v>
      </c>
      <c r="AM21" s="5" t="s">
        <v>61</v>
      </c>
      <c r="AN21" s="5" t="s">
        <v>343</v>
      </c>
      <c r="AO21" s="5" t="s">
        <v>166</v>
      </c>
      <c r="AP21" s="5" t="s">
        <v>344</v>
      </c>
    </row>
    <row r="22">
      <c r="A22" s="4" t="s">
        <v>345</v>
      </c>
      <c r="B22" s="5" t="s">
        <v>346</v>
      </c>
      <c r="C22" s="5" t="s">
        <v>42</v>
      </c>
      <c r="D22" s="5" t="s">
        <v>42</v>
      </c>
      <c r="E22" s="5" t="s">
        <v>43</v>
      </c>
      <c r="H22" s="5" t="s">
        <v>347</v>
      </c>
      <c r="I22" s="5" t="s">
        <v>348</v>
      </c>
      <c r="J22" s="5">
        <v>21.0</v>
      </c>
      <c r="K22" s="5" t="s">
        <v>349</v>
      </c>
      <c r="L22" s="5">
        <v>33130.0</v>
      </c>
      <c r="M22" s="5">
        <v>33039.0</v>
      </c>
      <c r="N22" s="5" t="s">
        <v>336</v>
      </c>
      <c r="O22" s="5" t="s">
        <v>48</v>
      </c>
      <c r="P22" s="5" t="s">
        <v>49</v>
      </c>
      <c r="R22" s="5" t="s">
        <v>350</v>
      </c>
      <c r="S22" s="5" t="s">
        <v>351</v>
      </c>
      <c r="U22" s="5" t="s">
        <v>52</v>
      </c>
      <c r="V22" s="5">
        <v>5.56490634E8</v>
      </c>
      <c r="X22" s="5" t="s">
        <v>352</v>
      </c>
      <c r="Z22" s="5" t="s">
        <v>353</v>
      </c>
      <c r="AC22" s="5" t="s">
        <v>352</v>
      </c>
      <c r="AD22" s="5" t="s">
        <v>354</v>
      </c>
      <c r="AE22" s="5" t="s">
        <v>164</v>
      </c>
      <c r="AF22" s="5" t="s">
        <v>58</v>
      </c>
      <c r="AG22" s="5" t="s">
        <v>79</v>
      </c>
      <c r="AH22" s="5" t="s">
        <v>99</v>
      </c>
      <c r="AI22" s="7" t="str">
        <f t="shared" si="1"/>
        <v>Gratuit</v>
      </c>
      <c r="AJ22" s="7" t="str">
        <f t="shared" si="2"/>
        <v>gratuit sans restriction</v>
      </c>
      <c r="AK22" s="7" t="str">
        <f t="shared" si="3"/>
        <v>gratuit sans restriction</v>
      </c>
      <c r="AL22" s="5" t="s">
        <v>131</v>
      </c>
      <c r="AM22" s="5" t="s">
        <v>61</v>
      </c>
      <c r="AN22" s="5" t="s">
        <v>355</v>
      </c>
      <c r="AP22" s="5" t="s">
        <v>356</v>
      </c>
    </row>
    <row r="23">
      <c r="A23" s="4" t="s">
        <v>357</v>
      </c>
      <c r="B23" s="5" t="s">
        <v>358</v>
      </c>
      <c r="C23" s="5" t="s">
        <v>170</v>
      </c>
      <c r="D23" s="5" t="s">
        <v>42</v>
      </c>
      <c r="E23" s="5" t="s">
        <v>43</v>
      </c>
      <c r="H23" s="5" t="s">
        <v>359</v>
      </c>
      <c r="I23" s="5" t="s">
        <v>360</v>
      </c>
      <c r="J23" s="5">
        <v>9.0</v>
      </c>
      <c r="K23" s="5" t="s">
        <v>361</v>
      </c>
      <c r="L23" s="5">
        <v>33130.0</v>
      </c>
      <c r="M23" s="5">
        <v>33039.0</v>
      </c>
      <c r="N23" s="5" t="s">
        <v>336</v>
      </c>
      <c r="O23" s="5" t="s">
        <v>48</v>
      </c>
      <c r="P23" s="5" t="s">
        <v>49</v>
      </c>
      <c r="R23" s="5" t="s">
        <v>362</v>
      </c>
      <c r="S23" s="5" t="s">
        <v>363</v>
      </c>
      <c r="U23" s="5" t="s">
        <v>52</v>
      </c>
      <c r="V23" s="5">
        <v>5.56759747E8</v>
      </c>
      <c r="X23" s="5" t="s">
        <v>364</v>
      </c>
      <c r="Z23" s="5" t="s">
        <v>365</v>
      </c>
      <c r="AA23" s="6" t="s">
        <v>366</v>
      </c>
      <c r="AC23" s="5" t="s">
        <v>367</v>
      </c>
      <c r="AD23" s="5" t="s">
        <v>368</v>
      </c>
      <c r="AE23" s="5" t="s">
        <v>57</v>
      </c>
      <c r="AF23" s="5" t="s">
        <v>58</v>
      </c>
      <c r="AG23" s="5" t="s">
        <v>79</v>
      </c>
      <c r="AH23" s="5" t="s">
        <v>80</v>
      </c>
      <c r="AI23" s="7" t="str">
        <f t="shared" si="1"/>
        <v>Payant</v>
      </c>
      <c r="AJ23" s="7" t="str">
        <f t="shared" si="2"/>
        <v>avec conditions</v>
      </c>
      <c r="AK23" s="7" t="str">
        <f t="shared" si="3"/>
        <v>avec conditions</v>
      </c>
      <c r="AM23" s="5" t="s">
        <v>61</v>
      </c>
      <c r="AN23" s="5" t="s">
        <v>369</v>
      </c>
      <c r="AO23" s="5" t="s">
        <v>166</v>
      </c>
      <c r="AP23" s="5" t="s">
        <v>370</v>
      </c>
    </row>
    <row r="24">
      <c r="A24" s="4" t="s">
        <v>371</v>
      </c>
      <c r="B24" s="5" t="s">
        <v>372</v>
      </c>
      <c r="C24" s="5" t="s">
        <v>170</v>
      </c>
      <c r="D24" s="5" t="s">
        <v>42</v>
      </c>
      <c r="E24" s="5" t="s">
        <v>43</v>
      </c>
      <c r="H24" s="5" t="s">
        <v>373</v>
      </c>
      <c r="I24" s="5" t="s">
        <v>374</v>
      </c>
      <c r="J24" s="5">
        <v>15.0</v>
      </c>
      <c r="K24" s="5" t="s">
        <v>375</v>
      </c>
      <c r="L24" s="5">
        <v>33170.0</v>
      </c>
      <c r="M24" s="5">
        <v>33192.0</v>
      </c>
      <c r="N24" s="5" t="s">
        <v>376</v>
      </c>
      <c r="O24" s="5" t="s">
        <v>48</v>
      </c>
      <c r="P24" s="5" t="s">
        <v>49</v>
      </c>
      <c r="Q24" s="5" t="s">
        <v>377</v>
      </c>
      <c r="R24" s="5" t="s">
        <v>378</v>
      </c>
      <c r="S24" s="5" t="s">
        <v>379</v>
      </c>
      <c r="U24" s="5" t="s">
        <v>52</v>
      </c>
      <c r="V24" s="5">
        <v>5.56847961E8</v>
      </c>
      <c r="X24" s="5" t="s">
        <v>380</v>
      </c>
      <c r="Z24" s="5" t="s">
        <v>381</v>
      </c>
      <c r="AA24" s="6" t="s">
        <v>382</v>
      </c>
      <c r="AB24" s="6" t="s">
        <v>383</v>
      </c>
      <c r="AC24" s="5" t="s">
        <v>380</v>
      </c>
      <c r="AD24" s="5" t="s">
        <v>384</v>
      </c>
      <c r="AE24" s="5" t="s">
        <v>385</v>
      </c>
      <c r="AF24" s="5" t="s">
        <v>58</v>
      </c>
      <c r="AG24" s="5" t="s">
        <v>79</v>
      </c>
      <c r="AH24" s="5" t="s">
        <v>314</v>
      </c>
      <c r="AI24" s="7" t="str">
        <f t="shared" si="1"/>
        <v>Gratuit,</v>
      </c>
      <c r="AJ24" s="7" t="str">
        <f t="shared" si="2"/>
        <v>avec conditions</v>
      </c>
      <c r="AK24" s="7" t="str">
        <f t="shared" si="3"/>
        <v>avec conditions</v>
      </c>
      <c r="AL24" s="5" t="s">
        <v>131</v>
      </c>
      <c r="AM24" s="5" t="s">
        <v>61</v>
      </c>
      <c r="AN24" s="5" t="s">
        <v>386</v>
      </c>
      <c r="AP24" s="5" t="s">
        <v>387</v>
      </c>
    </row>
    <row r="25">
      <c r="A25" s="4" t="s">
        <v>388</v>
      </c>
      <c r="B25" s="5" t="s">
        <v>389</v>
      </c>
      <c r="C25" s="5" t="s">
        <v>42</v>
      </c>
      <c r="D25" s="5" t="s">
        <v>42</v>
      </c>
      <c r="E25" s="5" t="s">
        <v>43</v>
      </c>
      <c r="H25" s="5" t="s">
        <v>390</v>
      </c>
      <c r="I25" s="5" t="s">
        <v>391</v>
      </c>
      <c r="J25" s="5">
        <v>7.0</v>
      </c>
      <c r="K25" s="5" t="s">
        <v>392</v>
      </c>
      <c r="L25" s="5">
        <v>33170.0</v>
      </c>
      <c r="M25" s="5">
        <v>33192.0</v>
      </c>
      <c r="N25" s="5" t="s">
        <v>376</v>
      </c>
      <c r="O25" s="5" t="s">
        <v>48</v>
      </c>
      <c r="P25" s="5" t="s">
        <v>49</v>
      </c>
      <c r="R25" s="5" t="s">
        <v>393</v>
      </c>
      <c r="S25" s="5" t="s">
        <v>394</v>
      </c>
      <c r="U25" s="5" t="s">
        <v>52</v>
      </c>
      <c r="V25" s="5">
        <v>5.57968682E8</v>
      </c>
      <c r="X25" s="5" t="s">
        <v>395</v>
      </c>
      <c r="Z25" s="5" t="s">
        <v>396</v>
      </c>
      <c r="AA25" s="6" t="s">
        <v>397</v>
      </c>
      <c r="AC25" s="5" t="s">
        <v>395</v>
      </c>
      <c r="AE25" s="5" t="s">
        <v>98</v>
      </c>
      <c r="AF25" s="5" t="s">
        <v>58</v>
      </c>
      <c r="AG25" s="5" t="s">
        <v>79</v>
      </c>
      <c r="AH25" s="5" t="s">
        <v>60</v>
      </c>
      <c r="AI25" s="7" t="str">
        <f t="shared" si="1"/>
        <v>Gratuit,</v>
      </c>
      <c r="AJ25" s="7" t="str">
        <f t="shared" si="2"/>
        <v>avec conditions</v>
      </c>
      <c r="AK25" s="7" t="str">
        <f t="shared" si="3"/>
        <v>avec conditions</v>
      </c>
      <c r="AL25" s="5" t="s">
        <v>131</v>
      </c>
      <c r="AM25" s="5" t="s">
        <v>100</v>
      </c>
      <c r="AN25" s="5" t="s">
        <v>398</v>
      </c>
      <c r="AO25" s="5" t="s">
        <v>133</v>
      </c>
      <c r="AP25" s="5" t="s">
        <v>399</v>
      </c>
    </row>
    <row r="26">
      <c r="A26" s="4" t="s">
        <v>400</v>
      </c>
      <c r="B26" s="5" t="s">
        <v>401</v>
      </c>
      <c r="C26" s="5" t="s">
        <v>137</v>
      </c>
      <c r="D26" s="5" t="s">
        <v>138</v>
      </c>
      <c r="E26" s="5" t="s">
        <v>87</v>
      </c>
      <c r="F26" s="5" t="s">
        <v>402</v>
      </c>
      <c r="H26" s="5" t="s">
        <v>403</v>
      </c>
      <c r="I26" s="5" t="s">
        <v>404</v>
      </c>
      <c r="J26" s="5" t="s">
        <v>405</v>
      </c>
      <c r="K26" s="5" t="s">
        <v>406</v>
      </c>
      <c r="L26" s="5">
        <v>33600.0</v>
      </c>
      <c r="M26" s="5">
        <v>33318.0</v>
      </c>
      <c r="N26" s="5" t="s">
        <v>407</v>
      </c>
      <c r="O26" s="5" t="s">
        <v>48</v>
      </c>
      <c r="P26" s="5" t="s">
        <v>49</v>
      </c>
      <c r="R26" s="5" t="s">
        <v>408</v>
      </c>
      <c r="S26" s="5" t="s">
        <v>409</v>
      </c>
      <c r="U26" s="5" t="s">
        <v>52</v>
      </c>
      <c r="V26" s="5">
        <v>5.5793672E8</v>
      </c>
      <c r="X26" s="5" t="s">
        <v>410</v>
      </c>
      <c r="Z26" s="5" t="s">
        <v>411</v>
      </c>
      <c r="AA26" s="6" t="s">
        <v>412</v>
      </c>
      <c r="AC26" s="5" t="s">
        <v>410</v>
      </c>
      <c r="AD26" s="5" t="s">
        <v>413</v>
      </c>
      <c r="AE26" s="5" t="s">
        <v>57</v>
      </c>
      <c r="AF26" s="5" t="s">
        <v>58</v>
      </c>
      <c r="AG26" s="5" t="s">
        <v>114</v>
      </c>
      <c r="AH26" s="5" t="s">
        <v>99</v>
      </c>
      <c r="AI26" s="7" t="str">
        <f t="shared" si="1"/>
        <v>Gratuit</v>
      </c>
      <c r="AJ26" s="7" t="str">
        <f t="shared" si="2"/>
        <v>gratuit sans restriction</v>
      </c>
      <c r="AK26" s="7" t="str">
        <f t="shared" si="3"/>
        <v>gratuit sans restriction</v>
      </c>
      <c r="AL26" s="5" t="s">
        <v>131</v>
      </c>
      <c r="AM26" s="5" t="s">
        <v>61</v>
      </c>
      <c r="AN26" s="5" t="s">
        <v>414</v>
      </c>
      <c r="AP26" s="5" t="s">
        <v>415</v>
      </c>
    </row>
    <row r="27">
      <c r="A27" s="4" t="s">
        <v>416</v>
      </c>
      <c r="B27" s="5" t="s">
        <v>417</v>
      </c>
      <c r="C27" s="5" t="s">
        <v>274</v>
      </c>
      <c r="D27" s="5" t="s">
        <v>138</v>
      </c>
      <c r="E27" s="5" t="s">
        <v>87</v>
      </c>
      <c r="F27" s="5" t="s">
        <v>418</v>
      </c>
      <c r="H27" s="5" t="s">
        <v>419</v>
      </c>
      <c r="I27" s="5" t="s">
        <v>420</v>
      </c>
      <c r="J27" s="5">
        <v>17.0</v>
      </c>
      <c r="K27" s="5" t="s">
        <v>421</v>
      </c>
      <c r="L27" s="5">
        <v>33400.0</v>
      </c>
      <c r="M27" s="5">
        <v>33522.0</v>
      </c>
      <c r="N27" s="5" t="s">
        <v>422</v>
      </c>
      <c r="O27" s="5" t="s">
        <v>48</v>
      </c>
      <c r="P27" s="5" t="s">
        <v>49</v>
      </c>
      <c r="R27" s="5" t="s">
        <v>423</v>
      </c>
      <c r="S27" s="5" t="s">
        <v>424</v>
      </c>
      <c r="U27" s="5" t="s">
        <v>52</v>
      </c>
      <c r="V27" s="5">
        <v>5.56847813E8</v>
      </c>
      <c r="X27" s="5" t="s">
        <v>425</v>
      </c>
      <c r="Z27" s="5" t="s">
        <v>426</v>
      </c>
      <c r="AA27" s="6" t="s">
        <v>427</v>
      </c>
      <c r="AB27" s="6" t="s">
        <v>428</v>
      </c>
      <c r="AC27" s="5" t="s">
        <v>425</v>
      </c>
      <c r="AD27" s="5" t="s">
        <v>429</v>
      </c>
      <c r="AE27" s="5" t="s">
        <v>164</v>
      </c>
      <c r="AF27" s="5" t="s">
        <v>58</v>
      </c>
      <c r="AG27" s="5" t="s">
        <v>79</v>
      </c>
      <c r="AH27" s="5" t="s">
        <v>99</v>
      </c>
      <c r="AI27" s="7" t="str">
        <f t="shared" si="1"/>
        <v>Gratuit</v>
      </c>
      <c r="AJ27" s="7" t="str">
        <f t="shared" si="2"/>
        <v>gratuit sans restriction</v>
      </c>
      <c r="AK27" s="7" t="str">
        <f t="shared" si="3"/>
        <v>gratuit sans restriction</v>
      </c>
      <c r="AL27" s="5" t="s">
        <v>131</v>
      </c>
      <c r="AM27" s="5" t="s">
        <v>61</v>
      </c>
      <c r="AN27" s="5" t="s">
        <v>430</v>
      </c>
      <c r="AP27" s="5" t="s">
        <v>431</v>
      </c>
    </row>
    <row r="28">
      <c r="A28" s="4" t="s">
        <v>432</v>
      </c>
      <c r="B28" s="5" t="s">
        <v>433</v>
      </c>
      <c r="C28" s="5" t="s">
        <v>137</v>
      </c>
      <c r="D28" s="5" t="s">
        <v>138</v>
      </c>
      <c r="E28" s="5" t="s">
        <v>87</v>
      </c>
      <c r="F28" s="5" t="s">
        <v>418</v>
      </c>
      <c r="H28" s="5" t="s">
        <v>434</v>
      </c>
      <c r="I28" s="5" t="s">
        <v>435</v>
      </c>
      <c r="J28" s="5">
        <v>221.0</v>
      </c>
      <c r="K28" s="5" t="s">
        <v>436</v>
      </c>
      <c r="L28" s="5">
        <v>33400.0</v>
      </c>
      <c r="M28" s="5">
        <v>33522.0</v>
      </c>
      <c r="N28" s="5" t="s">
        <v>422</v>
      </c>
      <c r="O28" s="5" t="s">
        <v>48</v>
      </c>
      <c r="P28" s="5" t="s">
        <v>49</v>
      </c>
      <c r="R28" s="5" t="s">
        <v>437</v>
      </c>
      <c r="S28" s="5" t="s">
        <v>438</v>
      </c>
      <c r="U28" s="5" t="s">
        <v>52</v>
      </c>
      <c r="V28" s="5">
        <v>5.56846421E8</v>
      </c>
      <c r="X28" s="5" t="s">
        <v>439</v>
      </c>
      <c r="Z28" s="5" t="s">
        <v>440</v>
      </c>
      <c r="AA28" s="6" t="s">
        <v>441</v>
      </c>
      <c r="AC28" s="5" t="s">
        <v>439</v>
      </c>
      <c r="AD28" s="5" t="s">
        <v>442</v>
      </c>
      <c r="AE28" s="5" t="s">
        <v>313</v>
      </c>
      <c r="AF28" s="5" t="s">
        <v>58</v>
      </c>
      <c r="AG28" s="5" t="s">
        <v>114</v>
      </c>
      <c r="AH28" s="5" t="s">
        <v>60</v>
      </c>
      <c r="AI28" s="7" t="str">
        <f t="shared" si="1"/>
        <v>Gratuit,</v>
      </c>
      <c r="AJ28" s="7" t="str">
        <f t="shared" si="2"/>
        <v>avec conditions</v>
      </c>
      <c r="AK28" s="7" t="str">
        <f t="shared" si="3"/>
        <v>avec conditions</v>
      </c>
      <c r="AL28" s="5" t="s">
        <v>131</v>
      </c>
      <c r="AM28" s="5" t="s">
        <v>61</v>
      </c>
      <c r="AN28" s="5" t="s">
        <v>443</v>
      </c>
      <c r="AP28" s="5" t="s">
        <v>444</v>
      </c>
    </row>
    <row r="29">
      <c r="A29" s="4" t="s">
        <v>445</v>
      </c>
      <c r="B29" s="5" t="s">
        <v>446</v>
      </c>
      <c r="C29" s="5" t="s">
        <v>42</v>
      </c>
      <c r="D29" s="5" t="s">
        <v>42</v>
      </c>
      <c r="E29" s="5" t="s">
        <v>43</v>
      </c>
      <c r="H29" s="5" t="s">
        <v>447</v>
      </c>
      <c r="I29" s="5" t="s">
        <v>448</v>
      </c>
      <c r="J29" s="5">
        <v>25.0</v>
      </c>
      <c r="K29" s="5" t="s">
        <v>449</v>
      </c>
      <c r="L29" s="5">
        <v>33400.0</v>
      </c>
      <c r="M29" s="5">
        <v>33522.0</v>
      </c>
      <c r="N29" s="5" t="s">
        <v>422</v>
      </c>
      <c r="O29" s="5" t="s">
        <v>48</v>
      </c>
      <c r="P29" s="5" t="s">
        <v>49</v>
      </c>
      <c r="R29" s="5" t="s">
        <v>450</v>
      </c>
      <c r="S29" s="5" t="s">
        <v>451</v>
      </c>
      <c r="U29" s="5" t="s">
        <v>52</v>
      </c>
      <c r="V29" s="5">
        <v>5.47335496E8</v>
      </c>
      <c r="X29" s="5" t="s">
        <v>452</v>
      </c>
      <c r="Z29" s="5" t="s">
        <v>453</v>
      </c>
      <c r="AA29" s="6" t="s">
        <v>454</v>
      </c>
      <c r="AB29" s="6" t="s">
        <v>455</v>
      </c>
      <c r="AC29" s="5" t="s">
        <v>452</v>
      </c>
      <c r="AD29" s="5" t="s">
        <v>456</v>
      </c>
      <c r="AE29" s="5" t="s">
        <v>57</v>
      </c>
      <c r="AF29" s="5" t="s">
        <v>58</v>
      </c>
      <c r="AG29" s="5" t="s">
        <v>59</v>
      </c>
      <c r="AH29" s="5" t="s">
        <v>99</v>
      </c>
      <c r="AI29" s="7" t="str">
        <f t="shared" si="1"/>
        <v>Gratuit</v>
      </c>
      <c r="AJ29" s="7" t="str">
        <f t="shared" si="2"/>
        <v>gratuit sans restriction</v>
      </c>
      <c r="AK29" s="7" t="str">
        <f t="shared" si="3"/>
        <v>gratuit sans restriction</v>
      </c>
      <c r="AL29" s="5" t="s">
        <v>131</v>
      </c>
      <c r="AM29" s="5" t="s">
        <v>61</v>
      </c>
      <c r="AN29" s="5" t="s">
        <v>457</v>
      </c>
      <c r="AO29" s="5" t="s">
        <v>166</v>
      </c>
      <c r="AP29" s="5" t="s">
        <v>458</v>
      </c>
    </row>
    <row r="30">
      <c r="A30" s="4" t="s">
        <v>459</v>
      </c>
      <c r="B30" s="5" t="s">
        <v>460</v>
      </c>
      <c r="C30" s="5" t="s">
        <v>119</v>
      </c>
      <c r="D30" s="5" t="s">
        <v>42</v>
      </c>
      <c r="E30" s="5" t="s">
        <v>43</v>
      </c>
      <c r="H30" s="5" t="s">
        <v>461</v>
      </c>
      <c r="I30" s="5" t="s">
        <v>462</v>
      </c>
      <c r="J30" s="5">
        <v>14.0</v>
      </c>
      <c r="K30" s="5" t="s">
        <v>463</v>
      </c>
      <c r="L30" s="5">
        <v>33127.0</v>
      </c>
      <c r="M30" s="5">
        <v>33273.0</v>
      </c>
      <c r="N30" s="5" t="s">
        <v>464</v>
      </c>
      <c r="O30" s="5" t="s">
        <v>48</v>
      </c>
      <c r="P30" s="5" t="s">
        <v>49</v>
      </c>
      <c r="R30" s="5" t="s">
        <v>465</v>
      </c>
      <c r="S30" s="5" t="s">
        <v>466</v>
      </c>
      <c r="U30" s="5" t="s">
        <v>52</v>
      </c>
      <c r="V30" s="5">
        <v>5.56780548E8</v>
      </c>
      <c r="X30" s="5" t="s">
        <v>467</v>
      </c>
      <c r="Z30" s="5" t="s">
        <v>468</v>
      </c>
      <c r="AA30" s="6" t="s">
        <v>469</v>
      </c>
      <c r="AC30" s="5" t="s">
        <v>467</v>
      </c>
      <c r="AD30" s="5" t="s">
        <v>470</v>
      </c>
      <c r="AE30" s="5" t="s">
        <v>57</v>
      </c>
      <c r="AF30" s="5" t="s">
        <v>58</v>
      </c>
      <c r="AG30" s="5" t="s">
        <v>79</v>
      </c>
      <c r="AH30" s="5" t="s">
        <v>314</v>
      </c>
      <c r="AI30" s="7" t="str">
        <f t="shared" si="1"/>
        <v>Gratuit,</v>
      </c>
      <c r="AJ30" s="7" t="str">
        <f t="shared" si="2"/>
        <v>avec conditions</v>
      </c>
      <c r="AK30" s="7" t="str">
        <f t="shared" si="3"/>
        <v>avec conditions</v>
      </c>
      <c r="AL30" s="5" t="s">
        <v>131</v>
      </c>
      <c r="AM30" s="5" t="s">
        <v>61</v>
      </c>
      <c r="AN30" s="5" t="s">
        <v>471</v>
      </c>
      <c r="AP30" s="5" t="s">
        <v>472</v>
      </c>
    </row>
    <row r="31">
      <c r="A31" s="4" t="s">
        <v>473</v>
      </c>
      <c r="B31" s="5" t="s">
        <v>474</v>
      </c>
      <c r="C31" s="5" t="s">
        <v>42</v>
      </c>
      <c r="D31" s="5" t="s">
        <v>42</v>
      </c>
      <c r="E31" s="5" t="s">
        <v>43</v>
      </c>
      <c r="H31" s="5" t="s">
        <v>475</v>
      </c>
      <c r="I31" s="5" t="s">
        <v>476</v>
      </c>
      <c r="K31" s="5" t="s">
        <v>476</v>
      </c>
      <c r="L31" s="5">
        <v>33700.0</v>
      </c>
      <c r="M31" s="5">
        <v>33281.0</v>
      </c>
      <c r="N31" s="5" t="s">
        <v>477</v>
      </c>
      <c r="O31" s="5" t="s">
        <v>48</v>
      </c>
      <c r="P31" s="5" t="s">
        <v>49</v>
      </c>
      <c r="R31" s="5" t="s">
        <v>478</v>
      </c>
      <c r="S31" s="5" t="s">
        <v>479</v>
      </c>
      <c r="U31" s="5" t="s">
        <v>52</v>
      </c>
      <c r="V31" s="5">
        <v>5.5612178E8</v>
      </c>
      <c r="X31" s="5" t="s">
        <v>480</v>
      </c>
      <c r="Z31" s="5" t="s">
        <v>481</v>
      </c>
      <c r="AA31" s="6" t="s">
        <v>482</v>
      </c>
      <c r="AB31" s="6" t="s">
        <v>483</v>
      </c>
      <c r="AC31" s="5" t="s">
        <v>480</v>
      </c>
      <c r="AD31" s="5" t="s">
        <v>484</v>
      </c>
      <c r="AE31" s="5" t="s">
        <v>57</v>
      </c>
      <c r="AF31" s="5" t="s">
        <v>58</v>
      </c>
      <c r="AG31" s="5" t="s">
        <v>79</v>
      </c>
      <c r="AH31" s="5" t="s">
        <v>99</v>
      </c>
      <c r="AI31" s="7" t="str">
        <f t="shared" si="1"/>
        <v>Gratuit</v>
      </c>
      <c r="AJ31" s="7" t="str">
        <f t="shared" si="2"/>
        <v>gratuit sans restriction</v>
      </c>
      <c r="AK31" s="7" t="str">
        <f t="shared" si="3"/>
        <v>gratuit sans restriction</v>
      </c>
      <c r="AL31" s="5" t="s">
        <v>131</v>
      </c>
      <c r="AM31" s="5" t="s">
        <v>100</v>
      </c>
      <c r="AN31" s="5" t="s">
        <v>485</v>
      </c>
      <c r="AO31" s="5" t="s">
        <v>133</v>
      </c>
      <c r="AP31" s="5" t="s">
        <v>486</v>
      </c>
    </row>
    <row r="32">
      <c r="A32" s="4" t="s">
        <v>487</v>
      </c>
      <c r="B32" s="5" t="s">
        <v>488</v>
      </c>
      <c r="C32" s="5" t="s">
        <v>42</v>
      </c>
      <c r="D32" s="5" t="s">
        <v>42</v>
      </c>
      <c r="E32" s="5" t="s">
        <v>43</v>
      </c>
      <c r="H32" s="5" t="s">
        <v>489</v>
      </c>
      <c r="I32" s="5" t="s">
        <v>490</v>
      </c>
      <c r="J32" s="5">
        <v>104.0</v>
      </c>
      <c r="K32" s="5" t="s">
        <v>491</v>
      </c>
      <c r="L32" s="5">
        <v>33160.0</v>
      </c>
      <c r="M32" s="5">
        <v>33449.0</v>
      </c>
      <c r="N32" s="5" t="s">
        <v>492</v>
      </c>
      <c r="O32" s="5" t="s">
        <v>48</v>
      </c>
      <c r="P32" s="5" t="s">
        <v>49</v>
      </c>
      <c r="R32" s="5" t="s">
        <v>493</v>
      </c>
      <c r="S32" s="5" t="s">
        <v>494</v>
      </c>
      <c r="U32" s="5" t="s">
        <v>52</v>
      </c>
      <c r="V32" s="5">
        <v>5.56959916E8</v>
      </c>
      <c r="X32" s="5" t="s">
        <v>495</v>
      </c>
      <c r="Z32" s="5" t="s">
        <v>496</v>
      </c>
      <c r="AA32" s="6" t="s">
        <v>497</v>
      </c>
      <c r="AB32" s="6" t="s">
        <v>498</v>
      </c>
      <c r="AC32" s="5" t="s">
        <v>495</v>
      </c>
      <c r="AD32" s="5" t="s">
        <v>499</v>
      </c>
      <c r="AE32" s="5" t="s">
        <v>57</v>
      </c>
      <c r="AF32" s="5" t="s">
        <v>58</v>
      </c>
      <c r="AG32" s="5" t="s">
        <v>79</v>
      </c>
      <c r="AH32" s="5" t="s">
        <v>314</v>
      </c>
      <c r="AI32" s="7" t="str">
        <f t="shared" si="1"/>
        <v>Gratuit,</v>
      </c>
      <c r="AJ32" s="7" t="str">
        <f t="shared" si="2"/>
        <v>avec conditions</v>
      </c>
      <c r="AK32" s="7" t="str">
        <f t="shared" si="3"/>
        <v>avec conditions</v>
      </c>
      <c r="AL32" s="5" t="s">
        <v>131</v>
      </c>
      <c r="AM32" s="5" t="s">
        <v>61</v>
      </c>
      <c r="AN32" s="5" t="s">
        <v>500</v>
      </c>
      <c r="AO32" s="5" t="s">
        <v>133</v>
      </c>
      <c r="AP32" s="5" t="s">
        <v>501</v>
      </c>
    </row>
    <row r="33">
      <c r="A33" s="4" t="s">
        <v>502</v>
      </c>
      <c r="B33" s="5" t="s">
        <v>503</v>
      </c>
      <c r="C33" s="5" t="s">
        <v>42</v>
      </c>
      <c r="D33" s="5" t="s">
        <v>42</v>
      </c>
      <c r="E33" s="5" t="s">
        <v>43</v>
      </c>
      <c r="H33" s="5" t="s">
        <v>504</v>
      </c>
      <c r="I33" s="5" t="s">
        <v>505</v>
      </c>
      <c r="J33" s="5">
        <v>5.0</v>
      </c>
      <c r="K33" s="5" t="s">
        <v>506</v>
      </c>
      <c r="L33" s="5">
        <v>33800.0</v>
      </c>
      <c r="M33" s="5">
        <v>33063.0</v>
      </c>
      <c r="N33" s="5" t="s">
        <v>47</v>
      </c>
      <c r="O33" s="5" t="s">
        <v>48</v>
      </c>
      <c r="P33" s="5" t="s">
        <v>49</v>
      </c>
      <c r="R33" s="5" t="s">
        <v>507</v>
      </c>
      <c r="S33" s="5" t="s">
        <v>508</v>
      </c>
      <c r="U33" s="5" t="s">
        <v>52</v>
      </c>
      <c r="V33" s="5">
        <v>5.56928035E8</v>
      </c>
      <c r="X33" s="5" t="s">
        <v>509</v>
      </c>
      <c r="Z33" s="5" t="s">
        <v>510</v>
      </c>
      <c r="AA33" s="6" t="s">
        <v>511</v>
      </c>
      <c r="AB33" s="6" t="s">
        <v>512</v>
      </c>
      <c r="AC33" s="5" t="s">
        <v>509</v>
      </c>
      <c r="AD33" s="5" t="s">
        <v>77</v>
      </c>
      <c r="AE33" s="5" t="s">
        <v>57</v>
      </c>
      <c r="AF33" s="5" t="s">
        <v>58</v>
      </c>
      <c r="AG33" s="5" t="s">
        <v>59</v>
      </c>
      <c r="AH33" s="5" t="s">
        <v>99</v>
      </c>
      <c r="AI33" s="7" t="str">
        <f t="shared" si="1"/>
        <v>Gratuit</v>
      </c>
      <c r="AJ33" s="7" t="str">
        <f t="shared" si="2"/>
        <v>gratuit sans restriction</v>
      </c>
      <c r="AK33" s="7" t="str">
        <f t="shared" si="3"/>
        <v>gratuit sans restriction</v>
      </c>
      <c r="AL33" s="5" t="s">
        <v>131</v>
      </c>
      <c r="AM33" s="5" t="s">
        <v>100</v>
      </c>
      <c r="AN33" s="5" t="s">
        <v>513</v>
      </c>
      <c r="AP33" s="5" t="s">
        <v>514</v>
      </c>
    </row>
    <row r="34">
      <c r="A34" s="4" t="s">
        <v>515</v>
      </c>
      <c r="B34" s="5" t="s">
        <v>516</v>
      </c>
      <c r="C34" s="5" t="s">
        <v>42</v>
      </c>
      <c r="D34" s="5" t="s">
        <v>42</v>
      </c>
      <c r="E34" s="5" t="s">
        <v>43</v>
      </c>
      <c r="G34" s="5">
        <v>7.82E13</v>
      </c>
      <c r="H34" s="5" t="s">
        <v>517</v>
      </c>
      <c r="I34" s="5" t="s">
        <v>518</v>
      </c>
      <c r="J34" s="5">
        <v>139.0</v>
      </c>
      <c r="K34" s="5" t="s">
        <v>519</v>
      </c>
      <c r="L34" s="5">
        <v>33300.0</v>
      </c>
      <c r="M34" s="5">
        <v>33063.0</v>
      </c>
      <c r="N34" s="5" t="s">
        <v>47</v>
      </c>
      <c r="O34" s="5" t="s">
        <v>48</v>
      </c>
      <c r="P34" s="5" t="s">
        <v>49</v>
      </c>
      <c r="R34" s="5" t="s">
        <v>520</v>
      </c>
      <c r="S34" s="5" t="s">
        <v>521</v>
      </c>
      <c r="U34" s="5" t="s">
        <v>52</v>
      </c>
      <c r="V34" s="5">
        <v>5.56508218E8</v>
      </c>
      <c r="X34" s="5" t="s">
        <v>522</v>
      </c>
      <c r="Z34" s="5" t="s">
        <v>523</v>
      </c>
      <c r="AA34" s="6" t="s">
        <v>524</v>
      </c>
      <c r="AB34" s="6" t="s">
        <v>525</v>
      </c>
      <c r="AC34" s="5" t="s">
        <v>522</v>
      </c>
      <c r="AD34" s="5" t="s">
        <v>526</v>
      </c>
      <c r="AE34" s="5" t="s">
        <v>57</v>
      </c>
      <c r="AF34" s="5" t="s">
        <v>58</v>
      </c>
      <c r="AG34" s="5" t="s">
        <v>79</v>
      </c>
      <c r="AH34" s="5" t="s">
        <v>99</v>
      </c>
      <c r="AI34" s="7" t="str">
        <f t="shared" si="1"/>
        <v>Gratuit</v>
      </c>
      <c r="AJ34" s="7" t="str">
        <f t="shared" si="2"/>
        <v>gratuit sans restriction</v>
      </c>
      <c r="AK34" s="7" t="str">
        <f t="shared" si="3"/>
        <v>gratuit sans restriction</v>
      </c>
      <c r="AM34" s="5" t="s">
        <v>61</v>
      </c>
      <c r="AN34" s="5" t="s">
        <v>527</v>
      </c>
      <c r="AO34" s="5" t="s">
        <v>528</v>
      </c>
      <c r="AP34" s="5" t="s">
        <v>529</v>
      </c>
    </row>
    <row r="35">
      <c r="A35" s="4" t="s">
        <v>530</v>
      </c>
      <c r="B35" s="5" t="s">
        <v>531</v>
      </c>
      <c r="C35" s="5" t="s">
        <v>42</v>
      </c>
      <c r="D35" s="5" t="s">
        <v>42</v>
      </c>
      <c r="E35" s="5" t="s">
        <v>43</v>
      </c>
      <c r="H35" s="5" t="s">
        <v>532</v>
      </c>
      <c r="I35" s="5" t="s">
        <v>533</v>
      </c>
      <c r="J35" s="5">
        <v>27.0</v>
      </c>
      <c r="K35" s="5" t="s">
        <v>534</v>
      </c>
      <c r="L35" s="5">
        <v>33000.0</v>
      </c>
      <c r="M35" s="5">
        <v>33063.0</v>
      </c>
      <c r="N35" s="5" t="s">
        <v>47</v>
      </c>
      <c r="O35" s="5" t="s">
        <v>48</v>
      </c>
      <c r="P35" s="5" t="s">
        <v>49</v>
      </c>
      <c r="R35" s="5" t="s">
        <v>535</v>
      </c>
      <c r="S35" s="5" t="s">
        <v>536</v>
      </c>
      <c r="U35" s="5" t="s">
        <v>52</v>
      </c>
      <c r="V35" s="5">
        <v>5.56513095E8</v>
      </c>
      <c r="X35" s="5" t="s">
        <v>537</v>
      </c>
      <c r="Z35" s="5" t="s">
        <v>538</v>
      </c>
      <c r="AA35" s="6" t="s">
        <v>539</v>
      </c>
      <c r="AC35" s="5" t="s">
        <v>537</v>
      </c>
      <c r="AD35" s="5" t="s">
        <v>499</v>
      </c>
      <c r="AE35" s="5" t="s">
        <v>182</v>
      </c>
      <c r="AF35" s="5" t="s">
        <v>58</v>
      </c>
      <c r="AG35" s="5" t="s">
        <v>114</v>
      </c>
      <c r="AH35" s="5" t="s">
        <v>99</v>
      </c>
      <c r="AI35" s="7" t="str">
        <f t="shared" si="1"/>
        <v>Gratuit</v>
      </c>
      <c r="AJ35" s="7" t="str">
        <f t="shared" si="2"/>
        <v>gratuit sans restriction</v>
      </c>
      <c r="AK35" s="7" t="str">
        <f t="shared" si="3"/>
        <v>gratuit sans restriction</v>
      </c>
      <c r="AL35" s="5" t="s">
        <v>131</v>
      </c>
      <c r="AM35" s="5" t="s">
        <v>61</v>
      </c>
      <c r="AN35" s="5" t="s">
        <v>540</v>
      </c>
      <c r="AP35" s="5" t="s">
        <v>541</v>
      </c>
    </row>
    <row r="36">
      <c r="A36" s="4" t="s">
        <v>542</v>
      </c>
      <c r="B36" s="5" t="s">
        <v>543</v>
      </c>
      <c r="C36" s="5" t="s">
        <v>42</v>
      </c>
      <c r="D36" s="5" t="s">
        <v>42</v>
      </c>
      <c r="E36" s="5" t="s">
        <v>43</v>
      </c>
      <c r="G36" s="5">
        <v>7.82E13</v>
      </c>
      <c r="H36" s="5" t="s">
        <v>544</v>
      </c>
      <c r="I36" s="5" t="s">
        <v>545</v>
      </c>
      <c r="J36" s="5">
        <v>5.0</v>
      </c>
      <c r="K36" s="5" t="s">
        <v>519</v>
      </c>
      <c r="L36" s="5">
        <v>33000.0</v>
      </c>
      <c r="M36" s="5">
        <v>33063.0</v>
      </c>
      <c r="N36" s="5" t="s">
        <v>47</v>
      </c>
      <c r="O36" s="5" t="s">
        <v>48</v>
      </c>
      <c r="P36" s="5" t="s">
        <v>49</v>
      </c>
      <c r="R36" s="5" t="s">
        <v>546</v>
      </c>
      <c r="S36" s="5" t="s">
        <v>547</v>
      </c>
      <c r="U36" s="5" t="s">
        <v>52</v>
      </c>
      <c r="V36" s="5">
        <v>5.5650856E8</v>
      </c>
      <c r="X36" s="5" t="s">
        <v>548</v>
      </c>
      <c r="Z36" s="5" t="s">
        <v>549</v>
      </c>
      <c r="AA36" s="6" t="s">
        <v>550</v>
      </c>
      <c r="AC36" s="5" t="s">
        <v>548</v>
      </c>
      <c r="AD36" s="5" t="s">
        <v>551</v>
      </c>
      <c r="AE36" s="5" t="s">
        <v>57</v>
      </c>
      <c r="AF36" s="5" t="s">
        <v>58</v>
      </c>
      <c r="AG36" s="5" t="s">
        <v>114</v>
      </c>
      <c r="AH36" s="5" t="s">
        <v>80</v>
      </c>
      <c r="AI36" s="7" t="str">
        <f t="shared" si="1"/>
        <v>Payant</v>
      </c>
      <c r="AJ36" s="7" t="str">
        <f t="shared" si="2"/>
        <v>avec conditions</v>
      </c>
      <c r="AK36" s="7" t="str">
        <f t="shared" si="3"/>
        <v>avec conditions</v>
      </c>
      <c r="AM36" s="5" t="s">
        <v>61</v>
      </c>
      <c r="AN36" s="5" t="s">
        <v>552</v>
      </c>
      <c r="AP36" s="5" t="s">
        <v>553</v>
      </c>
    </row>
    <row r="37">
      <c r="A37" s="4" t="s">
        <v>554</v>
      </c>
      <c r="B37" s="5" t="s">
        <v>555</v>
      </c>
      <c r="C37" s="5" t="s">
        <v>137</v>
      </c>
      <c r="D37" s="5" t="s">
        <v>138</v>
      </c>
      <c r="E37" s="5" t="s">
        <v>87</v>
      </c>
      <c r="F37" s="5" t="s">
        <v>139</v>
      </c>
      <c r="G37" s="5">
        <v>2.13E13</v>
      </c>
      <c r="H37" s="5" t="s">
        <v>556</v>
      </c>
      <c r="I37" s="5" t="s">
        <v>557</v>
      </c>
      <c r="J37" s="5">
        <v>196.0</v>
      </c>
      <c r="K37" s="5" t="s">
        <v>70</v>
      </c>
      <c r="L37" s="5">
        <v>33300.0</v>
      </c>
      <c r="M37" s="5">
        <v>33063.0</v>
      </c>
      <c r="N37" s="5" t="s">
        <v>47</v>
      </c>
      <c r="O37" s="5" t="s">
        <v>48</v>
      </c>
      <c r="P37" s="5" t="s">
        <v>49</v>
      </c>
      <c r="R37" s="5" t="s">
        <v>558</v>
      </c>
      <c r="S37" s="5" t="s">
        <v>559</v>
      </c>
      <c r="U37" s="5" t="s">
        <v>52</v>
      </c>
      <c r="V37" s="5">
        <v>5.56508702E8</v>
      </c>
      <c r="X37" s="5" t="s">
        <v>233</v>
      </c>
      <c r="Z37" s="5" t="s">
        <v>146</v>
      </c>
      <c r="AA37" s="6" t="s">
        <v>147</v>
      </c>
      <c r="AB37" s="6" t="s">
        <v>148</v>
      </c>
      <c r="AC37" s="5" t="s">
        <v>233</v>
      </c>
      <c r="AD37" s="5" t="s">
        <v>234</v>
      </c>
      <c r="AE37" s="5" t="s">
        <v>57</v>
      </c>
      <c r="AF37" s="5" t="s">
        <v>58</v>
      </c>
      <c r="AG37" s="5" t="s">
        <v>79</v>
      </c>
      <c r="AH37" s="5" t="s">
        <v>60</v>
      </c>
      <c r="AI37" s="7" t="str">
        <f t="shared" si="1"/>
        <v>Gratuit,</v>
      </c>
      <c r="AJ37" s="7" t="str">
        <f t="shared" si="2"/>
        <v>avec conditions</v>
      </c>
      <c r="AK37" s="7" t="str">
        <f t="shared" si="3"/>
        <v>avec conditions</v>
      </c>
      <c r="AL37" s="5" t="s">
        <v>131</v>
      </c>
      <c r="AM37" s="5" t="s">
        <v>61</v>
      </c>
      <c r="AN37" s="5" t="s">
        <v>560</v>
      </c>
      <c r="AP37" s="5" t="s">
        <v>561</v>
      </c>
    </row>
    <row r="38">
      <c r="A38" s="4" t="s">
        <v>562</v>
      </c>
      <c r="B38" s="5" t="s">
        <v>563</v>
      </c>
      <c r="C38" s="5" t="s">
        <v>42</v>
      </c>
      <c r="D38" s="5" t="s">
        <v>42</v>
      </c>
      <c r="E38" s="5" t="s">
        <v>43</v>
      </c>
      <c r="G38" s="5">
        <v>7.82E13</v>
      </c>
      <c r="H38" s="5" t="s">
        <v>564</v>
      </c>
      <c r="I38" s="5" t="s">
        <v>565</v>
      </c>
      <c r="J38" s="5">
        <v>79.0</v>
      </c>
      <c r="K38" s="5" t="s">
        <v>46</v>
      </c>
      <c r="L38" s="5">
        <v>33300.0</v>
      </c>
      <c r="M38" s="5">
        <v>33063.0</v>
      </c>
      <c r="N38" s="5" t="s">
        <v>47</v>
      </c>
      <c r="O38" s="5" t="s">
        <v>48</v>
      </c>
      <c r="P38" s="5" t="s">
        <v>49</v>
      </c>
      <c r="R38" s="5" t="s">
        <v>566</v>
      </c>
      <c r="S38" s="5" t="s">
        <v>567</v>
      </c>
      <c r="U38" s="5" t="s">
        <v>52</v>
      </c>
      <c r="V38" s="5">
        <v>5.56504773E8</v>
      </c>
      <c r="X38" s="5" t="s">
        <v>568</v>
      </c>
      <c r="Z38" s="5" t="s">
        <v>569</v>
      </c>
      <c r="AA38" s="6" t="s">
        <v>570</v>
      </c>
      <c r="AB38" s="6" t="s">
        <v>525</v>
      </c>
      <c r="AC38" s="5" t="s">
        <v>568</v>
      </c>
      <c r="AD38" s="5" t="s">
        <v>571</v>
      </c>
      <c r="AE38" s="5" t="s">
        <v>385</v>
      </c>
      <c r="AF38" s="5" t="s">
        <v>58</v>
      </c>
      <c r="AG38" s="5" t="s">
        <v>114</v>
      </c>
      <c r="AH38" s="5" t="s">
        <v>99</v>
      </c>
      <c r="AI38" s="7" t="str">
        <f t="shared" si="1"/>
        <v>Gratuit</v>
      </c>
      <c r="AJ38" s="7" t="str">
        <f t="shared" si="2"/>
        <v>gratuit sans restriction</v>
      </c>
      <c r="AK38" s="7" t="str">
        <f t="shared" si="3"/>
        <v>gratuit sans restriction</v>
      </c>
      <c r="AM38" s="5" t="s">
        <v>61</v>
      </c>
      <c r="AN38" s="5" t="s">
        <v>572</v>
      </c>
      <c r="AO38" s="5" t="s">
        <v>528</v>
      </c>
      <c r="AP38" s="5" t="s">
        <v>573</v>
      </c>
    </row>
    <row r="39">
      <c r="A39" s="4" t="s">
        <v>574</v>
      </c>
      <c r="B39" s="5" t="s">
        <v>575</v>
      </c>
      <c r="C39" s="5" t="s">
        <v>119</v>
      </c>
      <c r="D39" s="5" t="s">
        <v>42</v>
      </c>
      <c r="E39" s="5" t="s">
        <v>43</v>
      </c>
      <c r="H39" s="5" t="s">
        <v>576</v>
      </c>
      <c r="I39" s="5" t="s">
        <v>577</v>
      </c>
      <c r="J39" s="5">
        <v>58.0</v>
      </c>
      <c r="K39" s="5" t="s">
        <v>578</v>
      </c>
      <c r="L39" s="5">
        <v>33300.0</v>
      </c>
      <c r="M39" s="5">
        <v>33063.0</v>
      </c>
      <c r="N39" s="5" t="s">
        <v>47</v>
      </c>
      <c r="O39" s="5" t="s">
        <v>48</v>
      </c>
      <c r="P39" s="5" t="s">
        <v>49</v>
      </c>
      <c r="R39" s="5" t="s">
        <v>579</v>
      </c>
      <c r="S39" s="5" t="s">
        <v>580</v>
      </c>
      <c r="U39" s="5" t="s">
        <v>52</v>
      </c>
      <c r="V39" s="5">
        <v>5.56394672E8</v>
      </c>
      <c r="X39" s="5" t="s">
        <v>581</v>
      </c>
      <c r="Z39" s="5" t="s">
        <v>582</v>
      </c>
      <c r="AA39" s="6" t="s">
        <v>583</v>
      </c>
      <c r="AC39" s="5" t="s">
        <v>581</v>
      </c>
      <c r="AD39" s="5" t="s">
        <v>584</v>
      </c>
      <c r="AE39" s="5" t="s">
        <v>57</v>
      </c>
      <c r="AF39" s="5" t="s">
        <v>58</v>
      </c>
      <c r="AG39" s="5" t="s">
        <v>79</v>
      </c>
      <c r="AH39" s="5" t="s">
        <v>60</v>
      </c>
      <c r="AI39" s="7" t="str">
        <f t="shared" si="1"/>
        <v>Gratuit,</v>
      </c>
      <c r="AJ39" s="7" t="str">
        <f t="shared" si="2"/>
        <v>avec conditions</v>
      </c>
      <c r="AK39" s="7" t="str">
        <f t="shared" si="3"/>
        <v>avec conditions</v>
      </c>
      <c r="AM39" s="5" t="s">
        <v>61</v>
      </c>
      <c r="AN39" s="5" t="s">
        <v>585</v>
      </c>
      <c r="AP39" s="5" t="s">
        <v>586</v>
      </c>
    </row>
    <row r="40">
      <c r="A40" s="4" t="s">
        <v>587</v>
      </c>
      <c r="B40" s="5" t="s">
        <v>588</v>
      </c>
      <c r="C40" s="5" t="s">
        <v>137</v>
      </c>
      <c r="D40" s="5" t="s">
        <v>138</v>
      </c>
      <c r="E40" s="5" t="s">
        <v>87</v>
      </c>
      <c r="F40" s="5" t="s">
        <v>139</v>
      </c>
      <c r="G40" s="5">
        <v>2.13E13</v>
      </c>
      <c r="H40" s="5" t="s">
        <v>589</v>
      </c>
      <c r="I40" s="5" t="s">
        <v>590</v>
      </c>
      <c r="J40" s="5">
        <v>34.0</v>
      </c>
      <c r="K40" s="5" t="s">
        <v>591</v>
      </c>
      <c r="L40" s="5">
        <v>33000.0</v>
      </c>
      <c r="M40" s="5">
        <v>33063.0</v>
      </c>
      <c r="N40" s="5" t="s">
        <v>47</v>
      </c>
      <c r="O40" s="5" t="s">
        <v>48</v>
      </c>
      <c r="P40" s="5" t="s">
        <v>49</v>
      </c>
      <c r="R40" s="5" t="s">
        <v>592</v>
      </c>
      <c r="S40" s="5" t="s">
        <v>593</v>
      </c>
      <c r="U40" s="5" t="s">
        <v>52</v>
      </c>
      <c r="V40" s="5">
        <v>5.56502835E8</v>
      </c>
      <c r="X40" s="5" t="s">
        <v>594</v>
      </c>
      <c r="Z40" s="5" t="s">
        <v>146</v>
      </c>
      <c r="AA40" s="6" t="s">
        <v>147</v>
      </c>
      <c r="AB40" s="6" t="s">
        <v>148</v>
      </c>
      <c r="AC40" s="5" t="s">
        <v>594</v>
      </c>
      <c r="AD40" s="5" t="s">
        <v>234</v>
      </c>
      <c r="AE40" s="5" t="s">
        <v>57</v>
      </c>
      <c r="AF40" s="5" t="s">
        <v>58</v>
      </c>
      <c r="AG40" s="5" t="s">
        <v>79</v>
      </c>
      <c r="AH40" s="5" t="s">
        <v>60</v>
      </c>
      <c r="AI40" s="7" t="str">
        <f t="shared" si="1"/>
        <v>Gratuit,</v>
      </c>
      <c r="AJ40" s="7" t="str">
        <f t="shared" si="2"/>
        <v>avec conditions</v>
      </c>
      <c r="AK40" s="7" t="str">
        <f t="shared" si="3"/>
        <v>avec conditions</v>
      </c>
      <c r="AL40" s="5" t="s">
        <v>131</v>
      </c>
      <c r="AM40" s="5" t="s">
        <v>100</v>
      </c>
      <c r="AN40" s="5" t="s">
        <v>235</v>
      </c>
      <c r="AP40" s="5" t="s">
        <v>595</v>
      </c>
    </row>
    <row r="41">
      <c r="A41" s="4" t="s">
        <v>596</v>
      </c>
      <c r="B41" s="5" t="s">
        <v>597</v>
      </c>
      <c r="C41" s="5" t="s">
        <v>274</v>
      </c>
      <c r="D41" s="5" t="s">
        <v>138</v>
      </c>
      <c r="E41" s="5" t="s">
        <v>87</v>
      </c>
      <c r="H41" s="5" t="s">
        <v>598</v>
      </c>
      <c r="I41" s="5" t="s">
        <v>599</v>
      </c>
      <c r="J41" s="5">
        <v>4.0</v>
      </c>
      <c r="K41" s="5" t="s">
        <v>600</v>
      </c>
      <c r="L41" s="5">
        <v>33000.0</v>
      </c>
      <c r="M41" s="5">
        <v>33063.0</v>
      </c>
      <c r="N41" s="5" t="s">
        <v>47</v>
      </c>
      <c r="O41" s="5" t="s">
        <v>48</v>
      </c>
      <c r="P41" s="5" t="s">
        <v>49</v>
      </c>
      <c r="R41" s="5" t="s">
        <v>601</v>
      </c>
      <c r="S41" s="5" t="s">
        <v>602</v>
      </c>
      <c r="U41" s="5" t="s">
        <v>52</v>
      </c>
      <c r="V41" s="5">
        <v>5.57893939E8</v>
      </c>
      <c r="X41" s="5" t="s">
        <v>603</v>
      </c>
      <c r="Z41" s="5" t="s">
        <v>604</v>
      </c>
      <c r="AA41" s="6" t="s">
        <v>605</v>
      </c>
      <c r="AC41" s="5" t="s">
        <v>603</v>
      </c>
      <c r="AD41" s="5" t="s">
        <v>208</v>
      </c>
      <c r="AE41" s="5" t="s">
        <v>57</v>
      </c>
      <c r="AG41" s="5" t="s">
        <v>79</v>
      </c>
      <c r="AH41" s="5" t="s">
        <v>99</v>
      </c>
      <c r="AI41" s="7" t="str">
        <f t="shared" si="1"/>
        <v>Gratuit</v>
      </c>
      <c r="AJ41" s="7" t="str">
        <f t="shared" si="2"/>
        <v>gratuit sans restriction</v>
      </c>
      <c r="AK41" s="7" t="str">
        <f t="shared" si="3"/>
        <v>gratuit sans restriction</v>
      </c>
      <c r="AL41" s="5" t="s">
        <v>131</v>
      </c>
      <c r="AM41" s="5" t="s">
        <v>100</v>
      </c>
      <c r="AN41" s="5" t="s">
        <v>606</v>
      </c>
      <c r="AP41" s="5" t="s">
        <v>607</v>
      </c>
    </row>
    <row r="42">
      <c r="A42" s="4" t="s">
        <v>608</v>
      </c>
      <c r="B42" s="5" t="s">
        <v>609</v>
      </c>
      <c r="C42" s="5" t="s">
        <v>42</v>
      </c>
      <c r="D42" s="5" t="s">
        <v>42</v>
      </c>
      <c r="E42" s="5" t="s">
        <v>43</v>
      </c>
      <c r="H42" s="5" t="s">
        <v>610</v>
      </c>
      <c r="I42" s="5" t="s">
        <v>611</v>
      </c>
      <c r="J42" s="5">
        <v>6.0</v>
      </c>
      <c r="K42" s="5" t="s">
        <v>612</v>
      </c>
      <c r="L42" s="5">
        <v>33000.0</v>
      </c>
      <c r="M42" s="5">
        <v>33063.0</v>
      </c>
      <c r="N42" s="5" t="s">
        <v>47</v>
      </c>
      <c r="O42" s="5" t="s">
        <v>48</v>
      </c>
      <c r="P42" s="5" t="s">
        <v>49</v>
      </c>
      <c r="R42" s="5" t="s">
        <v>613</v>
      </c>
      <c r="S42" s="5" t="s">
        <v>614</v>
      </c>
      <c r="U42" s="5" t="s">
        <v>52</v>
      </c>
      <c r="V42" s="5">
        <v>5.56819322E8</v>
      </c>
      <c r="X42" s="5" t="s">
        <v>615</v>
      </c>
      <c r="Z42" s="5" t="s">
        <v>616</v>
      </c>
      <c r="AA42" s="6" t="s">
        <v>617</v>
      </c>
      <c r="AC42" s="5" t="s">
        <v>615</v>
      </c>
      <c r="AD42" s="5" t="s">
        <v>618</v>
      </c>
      <c r="AE42" s="5" t="s">
        <v>57</v>
      </c>
      <c r="AF42" s="5" t="s">
        <v>58</v>
      </c>
      <c r="AG42" s="5" t="s">
        <v>114</v>
      </c>
      <c r="AH42" s="5" t="s">
        <v>314</v>
      </c>
      <c r="AI42" s="7" t="str">
        <f t="shared" si="1"/>
        <v>Gratuit,</v>
      </c>
      <c r="AJ42" s="7" t="str">
        <f t="shared" si="2"/>
        <v>avec conditions</v>
      </c>
      <c r="AK42" s="7" t="str">
        <f t="shared" si="3"/>
        <v>avec conditions</v>
      </c>
      <c r="AM42" s="5" t="s">
        <v>61</v>
      </c>
      <c r="AN42" s="5" t="s">
        <v>619</v>
      </c>
      <c r="AP42" s="5" t="s">
        <v>620</v>
      </c>
    </row>
    <row r="43">
      <c r="A43" s="4" t="s">
        <v>621</v>
      </c>
      <c r="B43" s="5" t="s">
        <v>622</v>
      </c>
      <c r="C43" s="5" t="s">
        <v>66</v>
      </c>
      <c r="D43" s="5" t="s">
        <v>67</v>
      </c>
      <c r="E43" s="5" t="s">
        <v>43</v>
      </c>
      <c r="H43" s="5" t="s">
        <v>623</v>
      </c>
      <c r="I43" s="5" t="s">
        <v>624</v>
      </c>
      <c r="J43" s="5">
        <v>21.0</v>
      </c>
      <c r="K43" s="5" t="s">
        <v>625</v>
      </c>
      <c r="L43" s="5">
        <v>33000.0</v>
      </c>
      <c r="M43" s="5">
        <v>33063.0</v>
      </c>
      <c r="N43" s="5" t="s">
        <v>47</v>
      </c>
      <c r="O43" s="5" t="s">
        <v>48</v>
      </c>
      <c r="P43" s="5" t="s">
        <v>49</v>
      </c>
      <c r="R43" s="5" t="s">
        <v>626</v>
      </c>
      <c r="S43" s="5" t="s">
        <v>627</v>
      </c>
      <c r="U43" s="5" t="s">
        <v>52</v>
      </c>
      <c r="V43" s="5">
        <v>5.47743261E8</v>
      </c>
      <c r="X43" s="5" t="s">
        <v>628</v>
      </c>
      <c r="Z43" s="5" t="s">
        <v>629</v>
      </c>
      <c r="AA43" s="6" t="s">
        <v>630</v>
      </c>
      <c r="AB43" s="6" t="s">
        <v>631</v>
      </c>
      <c r="AC43" s="5" t="s">
        <v>628</v>
      </c>
      <c r="AD43" s="5" t="s">
        <v>632</v>
      </c>
      <c r="AE43" s="5" t="s">
        <v>633</v>
      </c>
      <c r="AF43" s="5" t="s">
        <v>58</v>
      </c>
      <c r="AG43" s="5" t="s">
        <v>79</v>
      </c>
      <c r="AH43" s="5" t="s">
        <v>60</v>
      </c>
      <c r="AI43" s="7" t="str">
        <f t="shared" si="1"/>
        <v>Gratuit,</v>
      </c>
      <c r="AJ43" s="7" t="str">
        <f t="shared" si="2"/>
        <v>avec conditions</v>
      </c>
      <c r="AK43" s="7" t="str">
        <f t="shared" si="3"/>
        <v>avec conditions</v>
      </c>
      <c r="AM43" s="5" t="s">
        <v>61</v>
      </c>
      <c r="AN43" s="5" t="s">
        <v>634</v>
      </c>
      <c r="AP43" s="5" t="s">
        <v>635</v>
      </c>
    </row>
    <row r="44">
      <c r="A44" s="4" t="s">
        <v>636</v>
      </c>
      <c r="B44" s="5" t="s">
        <v>637</v>
      </c>
      <c r="C44" s="5" t="s">
        <v>85</v>
      </c>
      <c r="D44" s="5" t="s">
        <v>86</v>
      </c>
      <c r="E44" s="5" t="s">
        <v>87</v>
      </c>
      <c r="F44" s="5" t="s">
        <v>85</v>
      </c>
      <c r="H44" s="5" t="s">
        <v>88</v>
      </c>
      <c r="I44" s="5" t="s">
        <v>638</v>
      </c>
      <c r="J44" s="5">
        <v>1.0</v>
      </c>
      <c r="K44" s="5" t="s">
        <v>639</v>
      </c>
      <c r="L44" s="5">
        <v>33076.0</v>
      </c>
      <c r="M44" s="5">
        <v>33063.0</v>
      </c>
      <c r="N44" s="5" t="s">
        <v>47</v>
      </c>
      <c r="O44" s="5" t="s">
        <v>48</v>
      </c>
      <c r="P44" s="5" t="s">
        <v>49</v>
      </c>
      <c r="R44" s="5" t="s">
        <v>640</v>
      </c>
      <c r="S44" s="5" t="s">
        <v>641</v>
      </c>
      <c r="U44" s="5" t="s">
        <v>52</v>
      </c>
      <c r="V44" s="5">
        <v>3949.0</v>
      </c>
      <c r="X44" s="5" t="s">
        <v>642</v>
      </c>
      <c r="Z44" s="5" t="s">
        <v>95</v>
      </c>
      <c r="AA44" s="6" t="s">
        <v>96</v>
      </c>
      <c r="AC44" s="5" t="s">
        <v>642</v>
      </c>
      <c r="AD44" s="5" t="s">
        <v>97</v>
      </c>
      <c r="AE44" s="5" t="s">
        <v>98</v>
      </c>
      <c r="AF44" s="5" t="s">
        <v>58</v>
      </c>
      <c r="AG44" s="5" t="s">
        <v>79</v>
      </c>
      <c r="AH44" s="5" t="s">
        <v>99</v>
      </c>
      <c r="AI44" s="7" t="str">
        <f t="shared" si="1"/>
        <v>Gratuit</v>
      </c>
      <c r="AJ44" s="7" t="str">
        <f t="shared" si="2"/>
        <v>gratuit sans restriction</v>
      </c>
      <c r="AK44" s="7" t="str">
        <f t="shared" si="3"/>
        <v>gratuit sans restriction</v>
      </c>
      <c r="AM44" s="5" t="s">
        <v>100</v>
      </c>
      <c r="AN44" s="5" t="s">
        <v>101</v>
      </c>
      <c r="AP44" s="5" t="s">
        <v>643</v>
      </c>
    </row>
    <row r="45">
      <c r="A45" s="4" t="s">
        <v>644</v>
      </c>
      <c r="B45" s="5" t="s">
        <v>645</v>
      </c>
      <c r="C45" s="5" t="s">
        <v>42</v>
      </c>
      <c r="D45" s="5" t="s">
        <v>42</v>
      </c>
      <c r="E45" s="5" t="s">
        <v>43</v>
      </c>
      <c r="H45" s="5" t="s">
        <v>646</v>
      </c>
      <c r="I45" s="5" t="s">
        <v>647</v>
      </c>
      <c r="J45" s="5">
        <v>14.0</v>
      </c>
      <c r="K45" s="5" t="s">
        <v>648</v>
      </c>
      <c r="L45" s="5">
        <v>33800.0</v>
      </c>
      <c r="M45" s="5">
        <v>33063.0</v>
      </c>
      <c r="N45" s="5" t="s">
        <v>47</v>
      </c>
      <c r="O45" s="5" t="s">
        <v>48</v>
      </c>
      <c r="P45" s="5" t="s">
        <v>49</v>
      </c>
      <c r="R45" s="5" t="s">
        <v>649</v>
      </c>
      <c r="S45" s="5" t="s">
        <v>650</v>
      </c>
      <c r="U45" s="5" t="s">
        <v>52</v>
      </c>
      <c r="V45" s="5">
        <v>5.56314848E8</v>
      </c>
      <c r="X45" s="5" t="s">
        <v>651</v>
      </c>
      <c r="Z45" s="5" t="s">
        <v>652</v>
      </c>
      <c r="AA45" s="6" t="s">
        <v>653</v>
      </c>
      <c r="AB45" s="6" t="s">
        <v>654</v>
      </c>
      <c r="AC45" s="5" t="s">
        <v>651</v>
      </c>
      <c r="AD45" s="5" t="s">
        <v>655</v>
      </c>
      <c r="AE45" s="5" t="s">
        <v>385</v>
      </c>
      <c r="AF45" s="5" t="s">
        <v>58</v>
      </c>
      <c r="AG45" s="5" t="s">
        <v>79</v>
      </c>
      <c r="AH45" s="5" t="s">
        <v>80</v>
      </c>
      <c r="AI45" s="7" t="str">
        <f t="shared" si="1"/>
        <v>Payant</v>
      </c>
      <c r="AJ45" s="7" t="str">
        <f t="shared" si="2"/>
        <v>avec conditions</v>
      </c>
      <c r="AK45" s="7" t="str">
        <f t="shared" si="3"/>
        <v>avec conditions</v>
      </c>
      <c r="AM45" s="5" t="s">
        <v>61</v>
      </c>
      <c r="AN45" s="5" t="s">
        <v>656</v>
      </c>
      <c r="AP45" s="5" t="s">
        <v>657</v>
      </c>
    </row>
    <row r="46">
      <c r="A46" s="4" t="s">
        <v>658</v>
      </c>
      <c r="B46" s="5" t="s">
        <v>659</v>
      </c>
      <c r="C46" s="5" t="s">
        <v>85</v>
      </c>
      <c r="D46" s="5" t="s">
        <v>86</v>
      </c>
      <c r="E46" s="5" t="s">
        <v>87</v>
      </c>
      <c r="F46" s="5" t="s">
        <v>85</v>
      </c>
      <c r="H46" s="5" t="s">
        <v>88</v>
      </c>
      <c r="I46" s="5" t="s">
        <v>660</v>
      </c>
      <c r="J46" s="5">
        <v>4.0</v>
      </c>
      <c r="K46" s="5" t="s">
        <v>661</v>
      </c>
      <c r="L46" s="5">
        <v>33800.0</v>
      </c>
      <c r="M46" s="5">
        <v>33063.0</v>
      </c>
      <c r="N46" s="5" t="s">
        <v>47</v>
      </c>
      <c r="O46" s="5" t="s">
        <v>48</v>
      </c>
      <c r="P46" s="5" t="s">
        <v>49</v>
      </c>
      <c r="R46" s="5" t="s">
        <v>662</v>
      </c>
      <c r="S46" s="5" t="s">
        <v>663</v>
      </c>
      <c r="U46" s="5" t="s">
        <v>52</v>
      </c>
      <c r="V46" s="5">
        <v>3949.0</v>
      </c>
      <c r="X46" s="5" t="s">
        <v>642</v>
      </c>
      <c r="Z46" s="5" t="s">
        <v>95</v>
      </c>
      <c r="AA46" s="6" t="s">
        <v>96</v>
      </c>
      <c r="AC46" s="5" t="s">
        <v>642</v>
      </c>
      <c r="AD46" s="5" t="s">
        <v>97</v>
      </c>
      <c r="AE46" s="5" t="s">
        <v>98</v>
      </c>
      <c r="AF46" s="5" t="s">
        <v>58</v>
      </c>
      <c r="AG46" s="5" t="s">
        <v>79</v>
      </c>
      <c r="AH46" s="5" t="s">
        <v>99</v>
      </c>
      <c r="AI46" s="7" t="str">
        <f t="shared" si="1"/>
        <v>Gratuit</v>
      </c>
      <c r="AJ46" s="7" t="str">
        <f t="shared" si="2"/>
        <v>gratuit sans restriction</v>
      </c>
      <c r="AK46" s="7" t="str">
        <f t="shared" si="3"/>
        <v>gratuit sans restriction</v>
      </c>
      <c r="AM46" s="5" t="s">
        <v>100</v>
      </c>
      <c r="AN46" s="5" t="s">
        <v>101</v>
      </c>
      <c r="AP46" s="5" t="s">
        <v>664</v>
      </c>
    </row>
    <row r="47">
      <c r="A47" s="4" t="s">
        <v>665</v>
      </c>
      <c r="B47" s="5" t="s">
        <v>666</v>
      </c>
      <c r="C47" s="5" t="s">
        <v>85</v>
      </c>
      <c r="D47" s="5" t="s">
        <v>86</v>
      </c>
      <c r="E47" s="5" t="s">
        <v>87</v>
      </c>
      <c r="F47" s="5" t="s">
        <v>85</v>
      </c>
      <c r="H47" s="5" t="s">
        <v>88</v>
      </c>
      <c r="I47" s="5" t="s">
        <v>667</v>
      </c>
      <c r="J47" s="5">
        <v>4.0</v>
      </c>
      <c r="K47" s="5" t="s">
        <v>668</v>
      </c>
      <c r="L47" s="5">
        <v>33100.0</v>
      </c>
      <c r="M47" s="5">
        <v>33063.0</v>
      </c>
      <c r="N47" s="5" t="s">
        <v>47</v>
      </c>
      <c r="O47" s="5" t="s">
        <v>48</v>
      </c>
      <c r="P47" s="5" t="s">
        <v>49</v>
      </c>
      <c r="R47" s="5" t="s">
        <v>669</v>
      </c>
      <c r="S47" s="5" t="s">
        <v>670</v>
      </c>
      <c r="U47" s="5" t="s">
        <v>52</v>
      </c>
      <c r="V47" s="5">
        <v>3949.0</v>
      </c>
      <c r="X47" s="5" t="s">
        <v>642</v>
      </c>
      <c r="Z47" s="5" t="s">
        <v>95</v>
      </c>
      <c r="AA47" s="6" t="s">
        <v>96</v>
      </c>
      <c r="AC47" s="5" t="s">
        <v>642</v>
      </c>
      <c r="AD47" s="5" t="s">
        <v>97</v>
      </c>
      <c r="AE47" s="5" t="s">
        <v>98</v>
      </c>
      <c r="AF47" s="5" t="s">
        <v>58</v>
      </c>
      <c r="AG47" s="5" t="s">
        <v>79</v>
      </c>
      <c r="AH47" s="5" t="s">
        <v>99</v>
      </c>
      <c r="AI47" s="7" t="str">
        <f t="shared" si="1"/>
        <v>Gratuit</v>
      </c>
      <c r="AJ47" s="7" t="str">
        <f t="shared" si="2"/>
        <v>gratuit sans restriction</v>
      </c>
      <c r="AK47" s="7" t="str">
        <f t="shared" si="3"/>
        <v>gratuit sans restriction</v>
      </c>
      <c r="AM47" s="5" t="s">
        <v>100</v>
      </c>
      <c r="AN47" s="5" t="s">
        <v>101</v>
      </c>
      <c r="AP47" s="5" t="s">
        <v>671</v>
      </c>
    </row>
    <row r="48">
      <c r="A48" s="4" t="s">
        <v>672</v>
      </c>
      <c r="B48" s="5" t="s">
        <v>673</v>
      </c>
      <c r="C48" s="5" t="s">
        <v>42</v>
      </c>
      <c r="D48" s="5" t="s">
        <v>42</v>
      </c>
      <c r="E48" s="5" t="s">
        <v>43</v>
      </c>
      <c r="H48" s="5" t="s">
        <v>674</v>
      </c>
      <c r="I48" s="5" t="s">
        <v>675</v>
      </c>
      <c r="J48" s="5">
        <v>30.0</v>
      </c>
      <c r="K48" s="5" t="s">
        <v>676</v>
      </c>
      <c r="L48" s="5">
        <v>33200.0</v>
      </c>
      <c r="M48" s="5">
        <v>33063.0</v>
      </c>
      <c r="N48" s="5" t="s">
        <v>47</v>
      </c>
      <c r="O48" s="5" t="s">
        <v>48</v>
      </c>
      <c r="P48" s="5" t="s">
        <v>49</v>
      </c>
      <c r="R48" s="5" t="s">
        <v>677</v>
      </c>
      <c r="S48" s="5" t="s">
        <v>678</v>
      </c>
      <c r="U48" s="5" t="s">
        <v>52</v>
      </c>
      <c r="V48" s="5">
        <v>5.5608673E8</v>
      </c>
      <c r="X48" s="5" t="s">
        <v>679</v>
      </c>
      <c r="Z48" s="5" t="s">
        <v>680</v>
      </c>
      <c r="AA48" s="6" t="s">
        <v>681</v>
      </c>
      <c r="AC48" s="5" t="s">
        <v>679</v>
      </c>
      <c r="AD48" s="5" t="s">
        <v>682</v>
      </c>
      <c r="AE48" s="5" t="s">
        <v>683</v>
      </c>
      <c r="AF48" s="5" t="s">
        <v>58</v>
      </c>
      <c r="AG48" s="5" t="s">
        <v>59</v>
      </c>
      <c r="AH48" s="5" t="s">
        <v>314</v>
      </c>
      <c r="AI48" s="7" t="str">
        <f t="shared" si="1"/>
        <v>Gratuit,</v>
      </c>
      <c r="AJ48" s="7" t="str">
        <f t="shared" si="2"/>
        <v>avec conditions</v>
      </c>
      <c r="AK48" s="7" t="str">
        <f t="shared" si="3"/>
        <v>avec conditions</v>
      </c>
      <c r="AM48" s="5" t="s">
        <v>61</v>
      </c>
      <c r="AN48" s="5" t="s">
        <v>684</v>
      </c>
      <c r="AP48" s="5" t="s">
        <v>685</v>
      </c>
    </row>
    <row r="49">
      <c r="A49" s="4" t="s">
        <v>686</v>
      </c>
      <c r="B49" s="5" t="s">
        <v>687</v>
      </c>
      <c r="C49" s="5" t="s">
        <v>42</v>
      </c>
      <c r="D49" s="5" t="s">
        <v>42</v>
      </c>
      <c r="E49" s="5" t="s">
        <v>43</v>
      </c>
      <c r="H49" s="5" t="s">
        <v>688</v>
      </c>
      <c r="I49" s="5" t="s">
        <v>689</v>
      </c>
      <c r="J49" s="5">
        <v>11.0</v>
      </c>
      <c r="K49" s="5" t="s">
        <v>690</v>
      </c>
      <c r="L49" s="5">
        <v>33200.0</v>
      </c>
      <c r="M49" s="5">
        <v>33281.0</v>
      </c>
      <c r="N49" s="5" t="s">
        <v>47</v>
      </c>
      <c r="O49" s="5" t="s">
        <v>48</v>
      </c>
      <c r="P49" s="5" t="s">
        <v>49</v>
      </c>
      <c r="R49" s="5" t="s">
        <v>691</v>
      </c>
      <c r="S49" s="5" t="s">
        <v>692</v>
      </c>
      <c r="U49" s="5" t="s">
        <v>52</v>
      </c>
      <c r="V49" s="5">
        <v>5.56974E8</v>
      </c>
      <c r="X49" s="5" t="s">
        <v>693</v>
      </c>
      <c r="Z49" s="5" t="s">
        <v>694</v>
      </c>
      <c r="AA49" s="6" t="s">
        <v>695</v>
      </c>
      <c r="AC49" s="5" t="s">
        <v>693</v>
      </c>
      <c r="AD49" s="5" t="s">
        <v>696</v>
      </c>
      <c r="AE49" s="5" t="s">
        <v>57</v>
      </c>
      <c r="AF49" s="5" t="s">
        <v>58</v>
      </c>
      <c r="AG49" s="5" t="s">
        <v>79</v>
      </c>
      <c r="AH49" s="5" t="s">
        <v>80</v>
      </c>
      <c r="AI49" s="7" t="str">
        <f t="shared" si="1"/>
        <v>Payant</v>
      </c>
      <c r="AJ49" s="7" t="str">
        <f t="shared" si="2"/>
        <v>avec conditions</v>
      </c>
      <c r="AK49" s="7" t="str">
        <f t="shared" si="3"/>
        <v>avec conditions</v>
      </c>
      <c r="AM49" s="5" t="s">
        <v>61</v>
      </c>
      <c r="AN49" s="5" t="s">
        <v>697</v>
      </c>
      <c r="AP49" s="5" t="s">
        <v>698</v>
      </c>
    </row>
    <row r="50">
      <c r="A50" s="4" t="s">
        <v>699</v>
      </c>
      <c r="B50" s="5" t="s">
        <v>700</v>
      </c>
      <c r="C50" s="5" t="s">
        <v>137</v>
      </c>
      <c r="D50" s="5" t="s">
        <v>138</v>
      </c>
      <c r="E50" s="5" t="s">
        <v>87</v>
      </c>
      <c r="F50" s="5" t="s">
        <v>139</v>
      </c>
      <c r="H50" s="5" t="s">
        <v>701</v>
      </c>
      <c r="I50" s="5" t="s">
        <v>702</v>
      </c>
      <c r="J50" s="5">
        <v>9.0</v>
      </c>
      <c r="K50" s="5" t="s">
        <v>703</v>
      </c>
      <c r="L50" s="5">
        <v>33440.0</v>
      </c>
      <c r="N50" s="5" t="s">
        <v>704</v>
      </c>
      <c r="O50" s="5" t="s">
        <v>48</v>
      </c>
      <c r="P50" s="5" t="s">
        <v>49</v>
      </c>
      <c r="U50" s="5" t="s">
        <v>52</v>
      </c>
      <c r="V50" s="5">
        <v>5.5780152E8</v>
      </c>
      <c r="X50" s="5" t="s">
        <v>705</v>
      </c>
      <c r="Z50" s="5" t="s">
        <v>706</v>
      </c>
      <c r="AA50" s="6" t="s">
        <v>707</v>
      </c>
      <c r="AC50" s="5" t="s">
        <v>705</v>
      </c>
      <c r="AD50" s="5" t="s">
        <v>708</v>
      </c>
      <c r="AE50" s="5" t="s">
        <v>633</v>
      </c>
      <c r="AF50" s="5" t="s">
        <v>58</v>
      </c>
      <c r="AG50" s="5" t="s">
        <v>114</v>
      </c>
      <c r="AH50" s="5" t="s">
        <v>99</v>
      </c>
      <c r="AI50" s="7" t="str">
        <f t="shared" si="1"/>
        <v>Gratuit</v>
      </c>
      <c r="AJ50" s="7" t="str">
        <f t="shared" si="2"/>
        <v>gratuit sans restriction</v>
      </c>
      <c r="AK50" s="7" t="str">
        <f t="shared" si="3"/>
        <v>gratuit sans restriction</v>
      </c>
      <c r="AM50" s="5" t="s">
        <v>61</v>
      </c>
      <c r="AN50" s="5" t="s">
        <v>709</v>
      </c>
    </row>
    <row r="51">
      <c r="A51" s="4" t="s">
        <v>710</v>
      </c>
      <c r="B51" s="5" t="s">
        <v>711</v>
      </c>
      <c r="C51" s="5" t="s">
        <v>137</v>
      </c>
      <c r="D51" s="5" t="s">
        <v>138</v>
      </c>
      <c r="E51" s="5" t="s">
        <v>87</v>
      </c>
      <c r="F51" s="5" t="s">
        <v>712</v>
      </c>
      <c r="H51" s="5" t="s">
        <v>713</v>
      </c>
      <c r="I51" s="5" t="s">
        <v>714</v>
      </c>
      <c r="J51" s="5">
        <v>5.0</v>
      </c>
      <c r="K51" s="5" t="s">
        <v>715</v>
      </c>
      <c r="L51" s="5">
        <v>33810.0</v>
      </c>
      <c r="M51" s="5">
        <v>33004.0</v>
      </c>
      <c r="N51" s="5" t="s">
        <v>716</v>
      </c>
      <c r="O51" s="5" t="s">
        <v>48</v>
      </c>
      <c r="P51" s="5" t="s">
        <v>49</v>
      </c>
      <c r="R51" s="5" t="s">
        <v>717</v>
      </c>
      <c r="S51" s="5" t="s">
        <v>718</v>
      </c>
      <c r="U51" s="5" t="s">
        <v>52</v>
      </c>
      <c r="V51" s="5">
        <v>5.56770269E8</v>
      </c>
      <c r="X51" s="5" t="s">
        <v>719</v>
      </c>
      <c r="Z51" s="5" t="s">
        <v>720</v>
      </c>
      <c r="AA51" s="6" t="s">
        <v>721</v>
      </c>
      <c r="AB51" s="5" t="s">
        <v>722</v>
      </c>
      <c r="AC51" s="5" t="s">
        <v>719</v>
      </c>
      <c r="AE51" s="5" t="s">
        <v>723</v>
      </c>
      <c r="AF51" s="5" t="s">
        <v>58</v>
      </c>
      <c r="AG51" s="5" t="s">
        <v>114</v>
      </c>
      <c r="AH51" s="5" t="s">
        <v>60</v>
      </c>
      <c r="AI51" s="7" t="str">
        <f t="shared" si="1"/>
        <v>Gratuit,</v>
      </c>
      <c r="AJ51" s="7" t="str">
        <f t="shared" si="2"/>
        <v>avec conditions</v>
      </c>
      <c r="AK51" s="7" t="str">
        <f t="shared" si="3"/>
        <v>avec conditions</v>
      </c>
      <c r="AL51" s="5" t="s">
        <v>131</v>
      </c>
      <c r="AM51" s="5" t="s">
        <v>100</v>
      </c>
      <c r="AN51" s="5" t="s">
        <v>724</v>
      </c>
      <c r="AP51" s="5" t="s">
        <v>725</v>
      </c>
    </row>
    <row r="52">
      <c r="A52" s="4" t="s">
        <v>726</v>
      </c>
      <c r="B52" s="5" t="s">
        <v>727</v>
      </c>
      <c r="C52" s="5" t="s">
        <v>274</v>
      </c>
      <c r="D52" s="5" t="s">
        <v>138</v>
      </c>
      <c r="E52" s="5" t="s">
        <v>87</v>
      </c>
      <c r="H52" s="5" t="s">
        <v>728</v>
      </c>
      <c r="I52" s="5" t="s">
        <v>729</v>
      </c>
      <c r="J52" s="5">
        <v>72.0</v>
      </c>
      <c r="K52" s="5" t="s">
        <v>261</v>
      </c>
      <c r="L52" s="5">
        <v>33370.0</v>
      </c>
      <c r="M52" s="5">
        <v>33013.0</v>
      </c>
      <c r="N52" s="5" t="s">
        <v>262</v>
      </c>
      <c r="O52" s="5" t="s">
        <v>48</v>
      </c>
      <c r="P52" s="5" t="s">
        <v>49</v>
      </c>
      <c r="Q52" s="5" t="s">
        <v>730</v>
      </c>
      <c r="R52" s="5" t="s">
        <v>263</v>
      </c>
      <c r="S52" s="5" t="s">
        <v>264</v>
      </c>
      <c r="U52" s="5" t="s">
        <v>52</v>
      </c>
      <c r="V52" s="5">
        <v>5.56740223E8</v>
      </c>
      <c r="X52" s="5" t="s">
        <v>731</v>
      </c>
      <c r="Z52" s="5" t="s">
        <v>732</v>
      </c>
      <c r="AA52" s="6" t="s">
        <v>733</v>
      </c>
      <c r="AB52" s="6" t="s">
        <v>734</v>
      </c>
      <c r="AC52" s="5" t="s">
        <v>731</v>
      </c>
      <c r="AD52" s="5" t="s">
        <v>735</v>
      </c>
      <c r="AE52" s="5" t="s">
        <v>736</v>
      </c>
      <c r="AF52" s="5" t="s">
        <v>58</v>
      </c>
      <c r="AG52" s="5" t="s">
        <v>79</v>
      </c>
      <c r="AH52" s="5" t="s">
        <v>99</v>
      </c>
      <c r="AI52" s="7" t="str">
        <f t="shared" si="1"/>
        <v>Gratuit</v>
      </c>
      <c r="AJ52" s="7" t="str">
        <f t="shared" si="2"/>
        <v>gratuit sans restriction</v>
      </c>
      <c r="AK52" s="7" t="str">
        <f t="shared" si="3"/>
        <v>gratuit sans restriction</v>
      </c>
      <c r="AL52" s="5" t="s">
        <v>131</v>
      </c>
      <c r="AM52" s="5" t="s">
        <v>61</v>
      </c>
      <c r="AN52" s="5" t="s">
        <v>737</v>
      </c>
      <c r="AP52" s="5" t="s">
        <v>271</v>
      </c>
    </row>
    <row r="53">
      <c r="A53" s="4" t="s">
        <v>738</v>
      </c>
      <c r="B53" s="5" t="s">
        <v>739</v>
      </c>
      <c r="C53" s="5" t="s">
        <v>42</v>
      </c>
      <c r="D53" s="5" t="s">
        <v>42</v>
      </c>
      <c r="E53" s="5" t="s">
        <v>43</v>
      </c>
      <c r="H53" s="5" t="s">
        <v>740</v>
      </c>
      <c r="I53" s="5" t="s">
        <v>741</v>
      </c>
      <c r="K53" s="5" t="s">
        <v>742</v>
      </c>
      <c r="L53" s="5">
        <v>33150.0</v>
      </c>
      <c r="M53" s="5">
        <v>33119.0</v>
      </c>
      <c r="N53" s="5" t="s">
        <v>290</v>
      </c>
      <c r="O53" s="5" t="s">
        <v>48</v>
      </c>
      <c r="P53" s="5" t="s">
        <v>49</v>
      </c>
      <c r="R53" s="5" t="s">
        <v>743</v>
      </c>
      <c r="S53" s="5" t="s">
        <v>744</v>
      </c>
      <c r="U53" s="5" t="s">
        <v>52</v>
      </c>
      <c r="V53" s="5">
        <v>6.22332142E8</v>
      </c>
      <c r="X53" s="5" t="s">
        <v>745</v>
      </c>
      <c r="Z53" s="5" t="s">
        <v>746</v>
      </c>
      <c r="AA53" s="6" t="s">
        <v>747</v>
      </c>
      <c r="AB53" s="6" t="s">
        <v>748</v>
      </c>
      <c r="AC53" s="5" t="s">
        <v>745</v>
      </c>
      <c r="AD53" s="5" t="s">
        <v>384</v>
      </c>
      <c r="AE53" s="5" t="s">
        <v>749</v>
      </c>
      <c r="AF53" s="5" t="s">
        <v>58</v>
      </c>
      <c r="AG53" s="5" t="s">
        <v>79</v>
      </c>
      <c r="AH53" s="5" t="s">
        <v>80</v>
      </c>
      <c r="AI53" s="7" t="str">
        <f t="shared" si="1"/>
        <v>Payant</v>
      </c>
      <c r="AJ53" s="7" t="str">
        <f t="shared" si="2"/>
        <v>avec conditions</v>
      </c>
      <c r="AK53" s="7" t="str">
        <f t="shared" si="3"/>
        <v>avec conditions</v>
      </c>
      <c r="AM53" s="5" t="s">
        <v>61</v>
      </c>
      <c r="AN53" s="5" t="s">
        <v>750</v>
      </c>
      <c r="AO53" s="5" t="s">
        <v>751</v>
      </c>
      <c r="AP53" s="5" t="s">
        <v>752</v>
      </c>
    </row>
    <row r="54">
      <c r="A54" s="4" t="s">
        <v>753</v>
      </c>
      <c r="B54" s="5" t="s">
        <v>754</v>
      </c>
      <c r="C54" s="5" t="s">
        <v>274</v>
      </c>
      <c r="D54" s="5" t="s">
        <v>138</v>
      </c>
      <c r="E54" s="5" t="s">
        <v>87</v>
      </c>
      <c r="F54" s="5" t="s">
        <v>755</v>
      </c>
      <c r="H54" s="5" t="s">
        <v>756</v>
      </c>
      <c r="I54" s="5" t="s">
        <v>757</v>
      </c>
      <c r="K54" s="5" t="s">
        <v>758</v>
      </c>
      <c r="L54" s="5">
        <v>33270.0</v>
      </c>
      <c r="M54" s="5">
        <v>33167.0</v>
      </c>
      <c r="N54" s="5" t="s">
        <v>759</v>
      </c>
      <c r="O54" s="5" t="s">
        <v>48</v>
      </c>
      <c r="P54" s="5" t="s">
        <v>49</v>
      </c>
      <c r="Q54" s="5" t="s">
        <v>760</v>
      </c>
      <c r="R54" s="5" t="s">
        <v>761</v>
      </c>
      <c r="S54" s="5" t="s">
        <v>762</v>
      </c>
      <c r="U54" s="5" t="s">
        <v>52</v>
      </c>
      <c r="V54" s="5">
        <v>5.57809787E8</v>
      </c>
      <c r="X54" s="5" t="s">
        <v>763</v>
      </c>
      <c r="Z54" s="5" t="s">
        <v>764</v>
      </c>
      <c r="AA54" s="6" t="s">
        <v>765</v>
      </c>
      <c r="AC54" s="5" t="s">
        <v>763</v>
      </c>
      <c r="AD54" s="5" t="s">
        <v>766</v>
      </c>
      <c r="AE54" s="5" t="s">
        <v>57</v>
      </c>
      <c r="AF54" s="5" t="s">
        <v>58</v>
      </c>
      <c r="AG54" s="5" t="s">
        <v>114</v>
      </c>
      <c r="AH54" s="5" t="s">
        <v>99</v>
      </c>
      <c r="AI54" s="7" t="str">
        <f t="shared" si="1"/>
        <v>Gratuit</v>
      </c>
      <c r="AJ54" s="7" t="str">
        <f t="shared" si="2"/>
        <v>gratuit sans restriction</v>
      </c>
      <c r="AK54" s="7" t="str">
        <f t="shared" si="3"/>
        <v>gratuit sans restriction</v>
      </c>
      <c r="AL54" s="5" t="s">
        <v>131</v>
      </c>
      <c r="AM54" s="5" t="s">
        <v>61</v>
      </c>
      <c r="AN54" s="5" t="s">
        <v>767</v>
      </c>
      <c r="AP54" s="5" t="s">
        <v>768</v>
      </c>
    </row>
    <row r="55">
      <c r="A55" s="4" t="s">
        <v>769</v>
      </c>
      <c r="B55" s="5" t="s">
        <v>770</v>
      </c>
      <c r="C55" s="5" t="s">
        <v>42</v>
      </c>
      <c r="D55" s="5" t="s">
        <v>42</v>
      </c>
      <c r="E55" s="5" t="s">
        <v>43</v>
      </c>
      <c r="H55" s="5" t="s">
        <v>771</v>
      </c>
      <c r="I55" s="5" t="s">
        <v>772</v>
      </c>
      <c r="K55" s="5" t="s">
        <v>773</v>
      </c>
      <c r="L55" s="5">
        <v>33270.0</v>
      </c>
      <c r="M55" s="5">
        <v>33167.0</v>
      </c>
      <c r="N55" s="5" t="s">
        <v>759</v>
      </c>
      <c r="O55" s="5" t="s">
        <v>48</v>
      </c>
      <c r="P55" s="5" t="s">
        <v>49</v>
      </c>
      <c r="R55" s="5" t="s">
        <v>774</v>
      </c>
      <c r="S55" s="5" t="s">
        <v>775</v>
      </c>
      <c r="U55" s="5" t="s">
        <v>52</v>
      </c>
      <c r="X55" s="5" t="s">
        <v>776</v>
      </c>
      <c r="Z55" s="5" t="s">
        <v>777</v>
      </c>
      <c r="AC55" s="5" t="s">
        <v>776</v>
      </c>
      <c r="AD55" s="5" t="s">
        <v>129</v>
      </c>
      <c r="AE55" s="5" t="s">
        <v>57</v>
      </c>
      <c r="AF55" s="5" t="s">
        <v>58</v>
      </c>
      <c r="AG55" s="5" t="s">
        <v>79</v>
      </c>
      <c r="AH55" s="5" t="s">
        <v>80</v>
      </c>
      <c r="AI55" s="7" t="str">
        <f t="shared" si="1"/>
        <v>Payant</v>
      </c>
      <c r="AJ55" s="7" t="str">
        <f t="shared" si="2"/>
        <v>avec conditions</v>
      </c>
      <c r="AK55" s="7" t="str">
        <f t="shared" si="3"/>
        <v>avec conditions</v>
      </c>
      <c r="AM55" s="5" t="s">
        <v>61</v>
      </c>
      <c r="AN55" s="5" t="s">
        <v>778</v>
      </c>
      <c r="AP55" s="5" t="s">
        <v>779</v>
      </c>
    </row>
    <row r="56">
      <c r="A56" s="4" t="s">
        <v>780</v>
      </c>
      <c r="B56" s="5" t="s">
        <v>781</v>
      </c>
      <c r="C56" s="5" t="s">
        <v>274</v>
      </c>
      <c r="D56" s="5" t="s">
        <v>138</v>
      </c>
      <c r="E56" s="5" t="s">
        <v>87</v>
      </c>
      <c r="F56" s="5" t="s">
        <v>755</v>
      </c>
      <c r="H56" s="5" t="s">
        <v>782</v>
      </c>
      <c r="I56" s="5" t="s">
        <v>783</v>
      </c>
      <c r="J56" s="5">
        <v>11.0</v>
      </c>
      <c r="K56" s="5" t="s">
        <v>784</v>
      </c>
      <c r="L56" s="5">
        <v>33270.0</v>
      </c>
      <c r="M56" s="5">
        <v>33167.0</v>
      </c>
      <c r="N56" s="5" t="s">
        <v>759</v>
      </c>
      <c r="O56" s="5" t="s">
        <v>48</v>
      </c>
      <c r="P56" s="5" t="s">
        <v>49</v>
      </c>
      <c r="R56" s="5" t="s">
        <v>785</v>
      </c>
      <c r="S56" s="5" t="s">
        <v>786</v>
      </c>
      <c r="U56" s="5" t="s">
        <v>52</v>
      </c>
      <c r="V56" s="5">
        <v>5.5780906E8</v>
      </c>
      <c r="X56" s="5" t="s">
        <v>787</v>
      </c>
      <c r="Z56" s="5" t="s">
        <v>788</v>
      </c>
      <c r="AC56" s="5" t="s">
        <v>787</v>
      </c>
      <c r="AD56" s="5" t="s">
        <v>789</v>
      </c>
      <c r="AE56" s="5" t="s">
        <v>57</v>
      </c>
      <c r="AF56" s="5" t="s">
        <v>58</v>
      </c>
      <c r="AG56" s="5" t="s">
        <v>79</v>
      </c>
      <c r="AH56" s="5" t="s">
        <v>99</v>
      </c>
      <c r="AI56" s="7" t="str">
        <f t="shared" si="1"/>
        <v>Gratuit</v>
      </c>
      <c r="AJ56" s="7" t="str">
        <f t="shared" si="2"/>
        <v>gratuit sans restriction</v>
      </c>
      <c r="AK56" s="7" t="str">
        <f t="shared" si="3"/>
        <v>gratuit sans restriction</v>
      </c>
      <c r="AL56" s="5" t="s">
        <v>131</v>
      </c>
      <c r="AM56" s="5" t="s">
        <v>61</v>
      </c>
      <c r="AN56" s="5" t="s">
        <v>790</v>
      </c>
      <c r="AP56" s="5" t="s">
        <v>791</v>
      </c>
    </row>
    <row r="57">
      <c r="A57" s="4" t="s">
        <v>792</v>
      </c>
      <c r="B57" s="5" t="s">
        <v>793</v>
      </c>
      <c r="C57" s="5" t="s">
        <v>42</v>
      </c>
      <c r="D57" s="5" t="s">
        <v>42</v>
      </c>
      <c r="E57" s="5" t="s">
        <v>43</v>
      </c>
      <c r="H57" s="5" t="s">
        <v>794</v>
      </c>
      <c r="I57" s="5" t="s">
        <v>795</v>
      </c>
      <c r="J57" s="5">
        <v>1.0</v>
      </c>
      <c r="K57" s="5" t="s">
        <v>796</v>
      </c>
      <c r="L57" s="5">
        <v>33270.0</v>
      </c>
      <c r="M57" s="5">
        <v>33167.0</v>
      </c>
      <c r="N57" s="5" t="s">
        <v>759</v>
      </c>
      <c r="O57" s="5" t="s">
        <v>48</v>
      </c>
      <c r="P57" s="5" t="s">
        <v>49</v>
      </c>
      <c r="R57" s="5" t="s">
        <v>797</v>
      </c>
      <c r="S57" s="5" t="s">
        <v>798</v>
      </c>
      <c r="U57" s="5" t="s">
        <v>52</v>
      </c>
      <c r="V57" s="5">
        <v>5.56326391E8</v>
      </c>
      <c r="X57" s="5" t="s">
        <v>799</v>
      </c>
      <c r="Z57" s="5" t="s">
        <v>800</v>
      </c>
      <c r="AA57" s="6" t="s">
        <v>801</v>
      </c>
      <c r="AC57" s="5" t="s">
        <v>799</v>
      </c>
      <c r="AD57" s="5" t="s">
        <v>802</v>
      </c>
      <c r="AE57" s="5" t="s">
        <v>57</v>
      </c>
      <c r="AF57" s="5" t="s">
        <v>58</v>
      </c>
      <c r="AG57" s="5" t="s">
        <v>79</v>
      </c>
      <c r="AH57" s="5" t="s">
        <v>314</v>
      </c>
      <c r="AI57" s="7" t="str">
        <f t="shared" si="1"/>
        <v>Gratuit,</v>
      </c>
      <c r="AJ57" s="7" t="str">
        <f t="shared" si="2"/>
        <v>avec conditions</v>
      </c>
      <c r="AK57" s="7" t="str">
        <f t="shared" si="3"/>
        <v>avec conditions</v>
      </c>
      <c r="AL57" s="5" t="s">
        <v>131</v>
      </c>
      <c r="AM57" s="5" t="s">
        <v>61</v>
      </c>
      <c r="AN57" s="5" t="s">
        <v>803</v>
      </c>
      <c r="AP57" s="5" t="s">
        <v>804</v>
      </c>
    </row>
    <row r="58">
      <c r="A58" s="4" t="s">
        <v>805</v>
      </c>
      <c r="B58" s="5" t="s">
        <v>806</v>
      </c>
      <c r="C58" s="5" t="s">
        <v>119</v>
      </c>
      <c r="D58" s="5" t="s">
        <v>42</v>
      </c>
      <c r="E58" s="5" t="s">
        <v>43</v>
      </c>
      <c r="H58" s="5" t="s">
        <v>807</v>
      </c>
      <c r="I58" s="5" t="s">
        <v>808</v>
      </c>
      <c r="J58" s="5">
        <v>4.0</v>
      </c>
      <c r="K58" s="5" t="s">
        <v>809</v>
      </c>
      <c r="L58" s="5">
        <v>33310.0</v>
      </c>
      <c r="M58" s="5">
        <v>33249.0</v>
      </c>
      <c r="N58" s="5" t="s">
        <v>306</v>
      </c>
      <c r="O58" s="5" t="s">
        <v>48</v>
      </c>
      <c r="P58" s="5" t="s">
        <v>49</v>
      </c>
      <c r="R58" s="5" t="s">
        <v>810</v>
      </c>
      <c r="S58" s="5" t="s">
        <v>811</v>
      </c>
      <c r="U58" s="5" t="s">
        <v>52</v>
      </c>
      <c r="V58" s="5">
        <v>5.35140186E8</v>
      </c>
      <c r="X58" s="5" t="s">
        <v>812</v>
      </c>
      <c r="Z58" s="5" t="s">
        <v>813</v>
      </c>
      <c r="AA58" s="6" t="s">
        <v>814</v>
      </c>
      <c r="AB58" s="6" t="s">
        <v>815</v>
      </c>
      <c r="AC58" s="5" t="s">
        <v>812</v>
      </c>
      <c r="AD58" s="5" t="s">
        <v>816</v>
      </c>
      <c r="AE58" s="5" t="s">
        <v>57</v>
      </c>
      <c r="AF58" s="5" t="s">
        <v>58</v>
      </c>
      <c r="AG58" s="5" t="s">
        <v>114</v>
      </c>
      <c r="AH58" s="5" t="s">
        <v>314</v>
      </c>
      <c r="AI58" s="7" t="str">
        <f t="shared" si="1"/>
        <v>Gratuit,</v>
      </c>
      <c r="AJ58" s="7" t="str">
        <f t="shared" si="2"/>
        <v>avec conditions</v>
      </c>
      <c r="AK58" s="7" t="str">
        <f t="shared" si="3"/>
        <v>avec conditions</v>
      </c>
      <c r="AM58" s="5" t="s">
        <v>61</v>
      </c>
      <c r="AN58" s="5" t="s">
        <v>817</v>
      </c>
      <c r="AO58" s="5" t="s">
        <v>528</v>
      </c>
      <c r="AP58" s="5" t="s">
        <v>818</v>
      </c>
    </row>
    <row r="59">
      <c r="A59" s="4" t="s">
        <v>819</v>
      </c>
      <c r="B59" s="5" t="s">
        <v>820</v>
      </c>
      <c r="C59" s="5" t="s">
        <v>42</v>
      </c>
      <c r="D59" s="5" t="s">
        <v>42</v>
      </c>
      <c r="E59" s="5" t="s">
        <v>43</v>
      </c>
      <c r="H59" s="5" t="s">
        <v>821</v>
      </c>
      <c r="I59" s="5" t="s">
        <v>822</v>
      </c>
      <c r="L59" s="5">
        <v>33310.0</v>
      </c>
      <c r="N59" s="5" t="s">
        <v>306</v>
      </c>
      <c r="O59" s="5" t="s">
        <v>48</v>
      </c>
      <c r="P59" s="5" t="s">
        <v>49</v>
      </c>
      <c r="U59" s="5" t="s">
        <v>52</v>
      </c>
      <c r="V59" s="5">
        <v>6.38861556E8</v>
      </c>
      <c r="X59" s="5" t="s">
        <v>823</v>
      </c>
      <c r="Z59" s="5" t="s">
        <v>824</v>
      </c>
      <c r="AA59" s="6" t="s">
        <v>825</v>
      </c>
      <c r="AB59" s="6" t="s">
        <v>826</v>
      </c>
      <c r="AC59" s="5" t="s">
        <v>823</v>
      </c>
      <c r="AE59" s="5" t="s">
        <v>827</v>
      </c>
      <c r="AF59" s="5" t="s">
        <v>58</v>
      </c>
      <c r="AG59" s="5" t="s">
        <v>79</v>
      </c>
      <c r="AH59" s="5" t="s">
        <v>80</v>
      </c>
      <c r="AI59" s="7" t="str">
        <f t="shared" si="1"/>
        <v>Payant</v>
      </c>
      <c r="AJ59" s="7" t="str">
        <f t="shared" si="2"/>
        <v>avec conditions</v>
      </c>
      <c r="AK59" s="7" t="str">
        <f t="shared" si="3"/>
        <v>avec conditions</v>
      </c>
      <c r="AM59" s="5" t="s">
        <v>61</v>
      </c>
      <c r="AN59" s="5" t="s">
        <v>828</v>
      </c>
    </row>
    <row r="60">
      <c r="A60" s="4" t="s">
        <v>829</v>
      </c>
      <c r="B60" s="5" t="s">
        <v>830</v>
      </c>
      <c r="C60" s="5" t="s">
        <v>137</v>
      </c>
      <c r="D60" s="5" t="s">
        <v>138</v>
      </c>
      <c r="E60" s="5" t="s">
        <v>87</v>
      </c>
      <c r="F60" s="5" t="s">
        <v>831</v>
      </c>
      <c r="H60" s="5" t="s">
        <v>832</v>
      </c>
      <c r="I60" s="5" t="s">
        <v>833</v>
      </c>
      <c r="J60" s="5">
        <v>1.0</v>
      </c>
      <c r="K60" s="5" t="s">
        <v>834</v>
      </c>
      <c r="L60" s="5">
        <v>33310.0</v>
      </c>
      <c r="M60" s="5">
        <v>33249.0</v>
      </c>
      <c r="N60" s="5" t="s">
        <v>306</v>
      </c>
      <c r="O60" s="5" t="s">
        <v>48</v>
      </c>
      <c r="P60" s="5" t="s">
        <v>49</v>
      </c>
      <c r="R60" s="5" t="s">
        <v>835</v>
      </c>
      <c r="S60" s="5" t="s">
        <v>836</v>
      </c>
      <c r="U60" s="5" t="s">
        <v>52</v>
      </c>
      <c r="V60" s="5">
        <v>5.5674598E8</v>
      </c>
      <c r="X60" s="5" t="s">
        <v>837</v>
      </c>
      <c r="Z60" s="5" t="s">
        <v>838</v>
      </c>
      <c r="AA60" s="6" t="s">
        <v>839</v>
      </c>
      <c r="AC60" s="5" t="s">
        <v>837</v>
      </c>
      <c r="AD60" s="5" t="s">
        <v>840</v>
      </c>
      <c r="AE60" s="5" t="s">
        <v>57</v>
      </c>
      <c r="AF60" s="5" t="s">
        <v>58</v>
      </c>
      <c r="AG60" s="5" t="s">
        <v>79</v>
      </c>
      <c r="AH60" s="5" t="s">
        <v>314</v>
      </c>
      <c r="AI60" s="7" t="str">
        <f t="shared" si="1"/>
        <v>Gratuit,</v>
      </c>
      <c r="AJ60" s="7" t="str">
        <f t="shared" si="2"/>
        <v>avec conditions</v>
      </c>
      <c r="AK60" s="7" t="str">
        <f t="shared" si="3"/>
        <v>avec conditions</v>
      </c>
      <c r="AL60" s="5" t="s">
        <v>131</v>
      </c>
      <c r="AM60" s="5" t="s">
        <v>61</v>
      </c>
      <c r="AN60" s="5" t="s">
        <v>841</v>
      </c>
      <c r="AP60" s="5" t="s">
        <v>842</v>
      </c>
    </row>
    <row r="61">
      <c r="A61" s="4" t="s">
        <v>843</v>
      </c>
      <c r="B61" s="5" t="s">
        <v>844</v>
      </c>
      <c r="C61" s="5" t="s">
        <v>137</v>
      </c>
      <c r="D61" s="5" t="s">
        <v>138</v>
      </c>
      <c r="E61" s="5" t="s">
        <v>87</v>
      </c>
      <c r="F61" s="5" t="s">
        <v>845</v>
      </c>
      <c r="H61" s="5" t="s">
        <v>846</v>
      </c>
      <c r="I61" s="5" t="s">
        <v>847</v>
      </c>
      <c r="J61" s="5">
        <v>58.0</v>
      </c>
      <c r="K61" s="5" t="s">
        <v>848</v>
      </c>
      <c r="L61" s="5">
        <v>33130.0</v>
      </c>
      <c r="M61" s="5">
        <v>33039.0</v>
      </c>
      <c r="N61" s="5" t="s">
        <v>336</v>
      </c>
      <c r="O61" s="5" t="s">
        <v>48</v>
      </c>
      <c r="P61" s="5" t="s">
        <v>49</v>
      </c>
      <c r="R61" s="5" t="s">
        <v>849</v>
      </c>
      <c r="S61" s="5" t="s">
        <v>850</v>
      </c>
      <c r="U61" s="5" t="s">
        <v>52</v>
      </c>
      <c r="V61" s="5">
        <v>5.56495481E8</v>
      </c>
      <c r="X61" s="5" t="s">
        <v>851</v>
      </c>
      <c r="Z61" s="5" t="s">
        <v>852</v>
      </c>
      <c r="AA61" s="6" t="s">
        <v>853</v>
      </c>
      <c r="AB61" s="6" t="s">
        <v>854</v>
      </c>
      <c r="AC61" s="5" t="s">
        <v>851</v>
      </c>
      <c r="AD61" s="5" t="s">
        <v>855</v>
      </c>
      <c r="AE61" s="5" t="s">
        <v>57</v>
      </c>
      <c r="AF61" s="5" t="s">
        <v>58</v>
      </c>
      <c r="AG61" s="5" t="s">
        <v>79</v>
      </c>
      <c r="AH61" s="5" t="s">
        <v>99</v>
      </c>
      <c r="AI61" s="7" t="str">
        <f t="shared" si="1"/>
        <v>Gratuit</v>
      </c>
      <c r="AJ61" s="7" t="str">
        <f t="shared" si="2"/>
        <v>gratuit sans restriction</v>
      </c>
      <c r="AK61" s="7" t="str">
        <f t="shared" si="3"/>
        <v>gratuit sans restriction</v>
      </c>
      <c r="AL61" s="5" t="s">
        <v>131</v>
      </c>
      <c r="AM61" s="5" t="s">
        <v>61</v>
      </c>
      <c r="AN61" s="5" t="s">
        <v>856</v>
      </c>
      <c r="AP61" s="5" t="s">
        <v>857</v>
      </c>
    </row>
    <row r="62">
      <c r="A62" s="4" t="s">
        <v>858</v>
      </c>
      <c r="B62" s="5" t="s">
        <v>859</v>
      </c>
      <c r="C62" s="5" t="s">
        <v>42</v>
      </c>
      <c r="D62" s="5" t="s">
        <v>42</v>
      </c>
      <c r="E62" s="5" t="s">
        <v>43</v>
      </c>
      <c r="H62" s="5" t="s">
        <v>860</v>
      </c>
      <c r="I62" s="5" t="s">
        <v>861</v>
      </c>
      <c r="K62" s="5" t="s">
        <v>406</v>
      </c>
      <c r="L62" s="5">
        <v>33600.0</v>
      </c>
      <c r="M62" s="5">
        <v>33318.0</v>
      </c>
      <c r="N62" s="5" t="s">
        <v>407</v>
      </c>
      <c r="O62" s="5" t="s">
        <v>48</v>
      </c>
      <c r="P62" s="5" t="s">
        <v>49</v>
      </c>
      <c r="Q62" s="5" t="s">
        <v>862</v>
      </c>
      <c r="R62" s="5" t="s">
        <v>863</v>
      </c>
      <c r="S62" s="5" t="s">
        <v>864</v>
      </c>
      <c r="U62" s="5" t="s">
        <v>52</v>
      </c>
      <c r="V62" s="5">
        <v>5.56153026E8</v>
      </c>
      <c r="X62" s="5" t="s">
        <v>865</v>
      </c>
      <c r="Z62" s="5" t="s">
        <v>866</v>
      </c>
      <c r="AA62" s="6" t="s">
        <v>867</v>
      </c>
      <c r="AC62" s="5" t="s">
        <v>865</v>
      </c>
      <c r="AD62" s="5" t="s">
        <v>868</v>
      </c>
      <c r="AE62" s="5" t="s">
        <v>57</v>
      </c>
      <c r="AF62" s="5" t="s">
        <v>58</v>
      </c>
      <c r="AG62" s="5" t="s">
        <v>114</v>
      </c>
      <c r="AH62" s="5" t="s">
        <v>99</v>
      </c>
      <c r="AI62" s="7" t="str">
        <f t="shared" si="1"/>
        <v>Gratuit</v>
      </c>
      <c r="AJ62" s="7" t="str">
        <f t="shared" si="2"/>
        <v>gratuit sans restriction</v>
      </c>
      <c r="AK62" s="7" t="str">
        <f t="shared" si="3"/>
        <v>gratuit sans restriction</v>
      </c>
      <c r="AM62" s="5" t="s">
        <v>100</v>
      </c>
      <c r="AN62" s="5" t="s">
        <v>869</v>
      </c>
      <c r="AP62" s="5" t="s">
        <v>870</v>
      </c>
    </row>
    <row r="63">
      <c r="A63" s="4" t="s">
        <v>871</v>
      </c>
      <c r="B63" s="5" t="s">
        <v>872</v>
      </c>
      <c r="C63" s="5" t="s">
        <v>42</v>
      </c>
      <c r="D63" s="5" t="s">
        <v>42</v>
      </c>
      <c r="E63" s="5" t="s">
        <v>43</v>
      </c>
      <c r="H63" s="5" t="s">
        <v>873</v>
      </c>
      <c r="I63" s="5" t="s">
        <v>874</v>
      </c>
      <c r="J63" s="5">
        <v>91.0</v>
      </c>
      <c r="K63" s="5" t="s">
        <v>875</v>
      </c>
      <c r="L63" s="5">
        <v>33400.0</v>
      </c>
      <c r="M63" s="5">
        <v>33522.0</v>
      </c>
      <c r="N63" s="5" t="s">
        <v>422</v>
      </c>
      <c r="O63" s="5" t="s">
        <v>48</v>
      </c>
      <c r="P63" s="5" t="s">
        <v>49</v>
      </c>
      <c r="R63" s="5" t="s">
        <v>876</v>
      </c>
      <c r="S63" s="5" t="s">
        <v>877</v>
      </c>
      <c r="U63" s="5" t="s">
        <v>52</v>
      </c>
      <c r="V63" s="5">
        <v>5.56041375E8</v>
      </c>
      <c r="X63" s="5" t="s">
        <v>878</v>
      </c>
      <c r="Z63" s="5" t="s">
        <v>879</v>
      </c>
      <c r="AA63" s="6" t="s">
        <v>880</v>
      </c>
      <c r="AC63" s="5" t="s">
        <v>878</v>
      </c>
      <c r="AD63" s="5" t="s">
        <v>881</v>
      </c>
      <c r="AE63" s="5" t="s">
        <v>57</v>
      </c>
      <c r="AF63" s="5" t="s">
        <v>58</v>
      </c>
      <c r="AG63" s="5" t="s">
        <v>79</v>
      </c>
      <c r="AH63" s="5" t="s">
        <v>314</v>
      </c>
      <c r="AI63" s="7" t="str">
        <f t="shared" si="1"/>
        <v>Gratuit,</v>
      </c>
      <c r="AJ63" s="7" t="str">
        <f t="shared" si="2"/>
        <v>avec conditions</v>
      </c>
      <c r="AK63" s="7" t="str">
        <f t="shared" si="3"/>
        <v>avec conditions</v>
      </c>
      <c r="AL63" s="5" t="s">
        <v>131</v>
      </c>
      <c r="AM63" s="5" t="s">
        <v>100</v>
      </c>
      <c r="AN63" s="5" t="s">
        <v>882</v>
      </c>
      <c r="AP63" s="5" t="s">
        <v>883</v>
      </c>
    </row>
    <row r="64">
      <c r="A64" s="4" t="s">
        <v>884</v>
      </c>
      <c r="B64" s="5" t="s">
        <v>885</v>
      </c>
      <c r="C64" s="5" t="s">
        <v>274</v>
      </c>
      <c r="D64" s="5" t="s">
        <v>138</v>
      </c>
      <c r="E64" s="5" t="s">
        <v>87</v>
      </c>
      <c r="H64" s="5" t="s">
        <v>886</v>
      </c>
      <c r="I64" s="5" t="s">
        <v>887</v>
      </c>
      <c r="K64" s="5" t="s">
        <v>887</v>
      </c>
      <c r="L64" s="5">
        <v>33400.0</v>
      </c>
      <c r="M64" s="5">
        <v>33522.0</v>
      </c>
      <c r="N64" s="5" t="s">
        <v>422</v>
      </c>
      <c r="O64" s="5" t="s">
        <v>48</v>
      </c>
      <c r="P64" s="5" t="s">
        <v>49</v>
      </c>
      <c r="R64" s="5" t="s">
        <v>888</v>
      </c>
      <c r="S64" s="5" t="s">
        <v>889</v>
      </c>
      <c r="U64" s="5" t="s">
        <v>52</v>
      </c>
      <c r="V64" s="5">
        <v>5.56847871E8</v>
      </c>
      <c r="X64" s="5" t="s">
        <v>890</v>
      </c>
      <c r="Z64" s="5" t="s">
        <v>891</v>
      </c>
      <c r="AA64" s="6" t="s">
        <v>892</v>
      </c>
      <c r="AC64" s="5" t="s">
        <v>890</v>
      </c>
      <c r="AD64" s="5" t="s">
        <v>893</v>
      </c>
      <c r="AE64" s="5" t="s">
        <v>894</v>
      </c>
      <c r="AF64" s="5" t="s">
        <v>58</v>
      </c>
      <c r="AG64" s="5" t="s">
        <v>114</v>
      </c>
      <c r="AH64" s="5" t="s">
        <v>99</v>
      </c>
      <c r="AI64" s="7" t="str">
        <f t="shared" si="1"/>
        <v>Gratuit</v>
      </c>
      <c r="AJ64" s="7" t="str">
        <f t="shared" si="2"/>
        <v>gratuit sans restriction</v>
      </c>
      <c r="AK64" s="7" t="str">
        <f t="shared" si="3"/>
        <v>gratuit sans restriction</v>
      </c>
      <c r="AL64" s="5" t="s">
        <v>131</v>
      </c>
      <c r="AM64" s="5" t="s">
        <v>100</v>
      </c>
      <c r="AN64" s="5" t="s">
        <v>895</v>
      </c>
      <c r="AP64" s="5" t="s">
        <v>896</v>
      </c>
    </row>
    <row r="65">
      <c r="A65" s="4" t="s">
        <v>897</v>
      </c>
      <c r="B65" s="5" t="s">
        <v>898</v>
      </c>
      <c r="C65" s="5" t="s">
        <v>274</v>
      </c>
      <c r="D65" s="5" t="s">
        <v>138</v>
      </c>
      <c r="E65" s="5" t="s">
        <v>87</v>
      </c>
      <c r="F65" s="5" t="s">
        <v>418</v>
      </c>
      <c r="H65" s="5" t="s">
        <v>899</v>
      </c>
      <c r="I65" s="5" t="s">
        <v>900</v>
      </c>
      <c r="J65" s="5">
        <v>23.0</v>
      </c>
      <c r="K65" s="5" t="s">
        <v>421</v>
      </c>
      <c r="L65" s="5">
        <v>33400.0</v>
      </c>
      <c r="M65" s="5">
        <v>33522.0</v>
      </c>
      <c r="N65" s="5" t="s">
        <v>422</v>
      </c>
      <c r="O65" s="5" t="s">
        <v>48</v>
      </c>
      <c r="P65" s="5" t="s">
        <v>49</v>
      </c>
      <c r="R65" s="5" t="s">
        <v>901</v>
      </c>
      <c r="S65" s="5" t="s">
        <v>902</v>
      </c>
      <c r="U65" s="5" t="s">
        <v>52</v>
      </c>
      <c r="V65" s="5">
        <v>5.56847895E8</v>
      </c>
      <c r="X65" s="5" t="s">
        <v>903</v>
      </c>
      <c r="Z65" s="5" t="s">
        <v>904</v>
      </c>
      <c r="AA65" s="6" t="s">
        <v>905</v>
      </c>
      <c r="AC65" s="5" t="s">
        <v>903</v>
      </c>
      <c r="AD65" s="5" t="s">
        <v>906</v>
      </c>
      <c r="AE65" s="5" t="s">
        <v>164</v>
      </c>
      <c r="AG65" s="5" t="s">
        <v>79</v>
      </c>
      <c r="AH65" s="5" t="s">
        <v>99</v>
      </c>
      <c r="AI65" s="7" t="str">
        <f t="shared" si="1"/>
        <v>Gratuit</v>
      </c>
      <c r="AJ65" s="7" t="str">
        <f t="shared" si="2"/>
        <v>gratuit sans restriction</v>
      </c>
      <c r="AK65" s="7" t="str">
        <f t="shared" si="3"/>
        <v>gratuit sans restriction</v>
      </c>
      <c r="AL65" s="5" t="s">
        <v>131</v>
      </c>
      <c r="AM65" s="5" t="s">
        <v>100</v>
      </c>
      <c r="AN65" s="5" t="s">
        <v>907</v>
      </c>
      <c r="AP65" s="5" t="s">
        <v>908</v>
      </c>
    </row>
    <row r="66">
      <c r="A66" s="4" t="s">
        <v>909</v>
      </c>
      <c r="B66" s="5" t="s">
        <v>910</v>
      </c>
      <c r="C66" s="5" t="s">
        <v>274</v>
      </c>
      <c r="D66" s="5" t="s">
        <v>138</v>
      </c>
      <c r="E66" s="5" t="s">
        <v>87</v>
      </c>
      <c r="F66" s="5" t="s">
        <v>911</v>
      </c>
      <c r="H66" s="5" t="s">
        <v>912</v>
      </c>
      <c r="I66" s="5" t="s">
        <v>913</v>
      </c>
      <c r="J66" s="5">
        <v>2.0</v>
      </c>
      <c r="K66" s="5" t="s">
        <v>463</v>
      </c>
      <c r="L66" s="5">
        <v>33320.0</v>
      </c>
      <c r="M66" s="5">
        <v>33162.0</v>
      </c>
      <c r="N66" s="5" t="s">
        <v>914</v>
      </c>
      <c r="O66" s="5" t="s">
        <v>48</v>
      </c>
      <c r="P66" s="5" t="s">
        <v>49</v>
      </c>
      <c r="R66" s="5" t="s">
        <v>915</v>
      </c>
      <c r="S66" s="5" t="s">
        <v>916</v>
      </c>
      <c r="U66" s="5" t="s">
        <v>52</v>
      </c>
      <c r="V66" s="5">
        <v>5.56289217E8</v>
      </c>
      <c r="W66" s="5">
        <v>7.77260921E8</v>
      </c>
      <c r="X66" s="5" t="s">
        <v>917</v>
      </c>
      <c r="Z66" s="5" t="s">
        <v>918</v>
      </c>
      <c r="AA66" s="6" t="s">
        <v>919</v>
      </c>
      <c r="AB66" s="6" t="s">
        <v>920</v>
      </c>
      <c r="AC66" s="5" t="s">
        <v>917</v>
      </c>
      <c r="AD66" s="5" t="s">
        <v>921</v>
      </c>
      <c r="AE66" s="5" t="s">
        <v>57</v>
      </c>
      <c r="AF66" s="5" t="s">
        <v>58</v>
      </c>
      <c r="AG66" s="5" t="s">
        <v>79</v>
      </c>
      <c r="AH66" s="5" t="s">
        <v>314</v>
      </c>
      <c r="AI66" s="7" t="str">
        <f t="shared" si="1"/>
        <v>Gratuit,</v>
      </c>
      <c r="AJ66" s="7" t="str">
        <f t="shared" si="2"/>
        <v>avec conditions</v>
      </c>
      <c r="AK66" s="7" t="str">
        <f t="shared" si="3"/>
        <v>avec conditions</v>
      </c>
      <c r="AL66" s="5" t="s">
        <v>131</v>
      </c>
      <c r="AM66" s="5" t="s">
        <v>61</v>
      </c>
      <c r="AN66" s="5" t="s">
        <v>922</v>
      </c>
      <c r="AO66" s="5" t="s">
        <v>133</v>
      </c>
      <c r="AP66" s="5" t="s">
        <v>923</v>
      </c>
    </row>
    <row r="67">
      <c r="A67" s="4" t="s">
        <v>924</v>
      </c>
      <c r="B67" s="5" t="s">
        <v>925</v>
      </c>
      <c r="C67" s="5" t="s">
        <v>274</v>
      </c>
      <c r="D67" s="5" t="s">
        <v>138</v>
      </c>
      <c r="E67" s="5" t="s">
        <v>87</v>
      </c>
      <c r="F67" s="5" t="s">
        <v>911</v>
      </c>
      <c r="H67" s="5" t="s">
        <v>912</v>
      </c>
      <c r="I67" s="5" t="s">
        <v>926</v>
      </c>
      <c r="J67" s="5">
        <v>10.0</v>
      </c>
      <c r="K67" s="5" t="s">
        <v>927</v>
      </c>
      <c r="L67" s="5">
        <v>33320.0</v>
      </c>
      <c r="M67" s="5">
        <v>33162.0</v>
      </c>
      <c r="N67" s="5" t="s">
        <v>914</v>
      </c>
      <c r="O67" s="5" t="s">
        <v>48</v>
      </c>
      <c r="P67" s="5" t="s">
        <v>49</v>
      </c>
      <c r="R67" s="5" t="s">
        <v>928</v>
      </c>
      <c r="S67" s="5" t="s">
        <v>929</v>
      </c>
      <c r="U67" s="5" t="s">
        <v>52</v>
      </c>
      <c r="V67" s="5">
        <v>5.56289076E8</v>
      </c>
      <c r="W67" s="5">
        <v>7.77260922E8</v>
      </c>
      <c r="X67" s="5" t="s">
        <v>930</v>
      </c>
      <c r="Z67" s="5" t="s">
        <v>918</v>
      </c>
      <c r="AA67" s="6" t="s">
        <v>919</v>
      </c>
      <c r="AB67" s="6" t="s">
        <v>920</v>
      </c>
      <c r="AC67" s="5" t="s">
        <v>931</v>
      </c>
      <c r="AD67" s="5" t="s">
        <v>932</v>
      </c>
      <c r="AE67" s="5" t="s">
        <v>57</v>
      </c>
      <c r="AF67" s="5" t="s">
        <v>58</v>
      </c>
      <c r="AG67" s="5" t="s">
        <v>79</v>
      </c>
      <c r="AH67" s="5" t="s">
        <v>314</v>
      </c>
      <c r="AI67" s="7" t="str">
        <f t="shared" si="1"/>
        <v>Gratuit,</v>
      </c>
      <c r="AJ67" s="7" t="str">
        <f t="shared" si="2"/>
        <v>avec conditions</v>
      </c>
      <c r="AK67" s="7" t="str">
        <f t="shared" si="3"/>
        <v>avec conditions</v>
      </c>
      <c r="AL67" s="5" t="s">
        <v>131</v>
      </c>
      <c r="AM67" s="5" t="s">
        <v>61</v>
      </c>
      <c r="AN67" s="5" t="s">
        <v>922</v>
      </c>
      <c r="AO67" s="5" t="s">
        <v>133</v>
      </c>
      <c r="AP67" s="5" t="s">
        <v>933</v>
      </c>
    </row>
    <row r="68">
      <c r="A68" s="4" t="s">
        <v>934</v>
      </c>
      <c r="B68" s="5" t="s">
        <v>935</v>
      </c>
      <c r="C68" s="5" t="s">
        <v>137</v>
      </c>
      <c r="D68" s="5" t="s">
        <v>138</v>
      </c>
      <c r="E68" s="5" t="s">
        <v>87</v>
      </c>
      <c r="F68" s="5" t="s">
        <v>911</v>
      </c>
      <c r="H68" s="5" t="s">
        <v>936</v>
      </c>
      <c r="I68" s="5" t="s">
        <v>937</v>
      </c>
      <c r="J68" s="5">
        <v>2.0</v>
      </c>
      <c r="K68" s="5" t="s">
        <v>938</v>
      </c>
      <c r="L68" s="5">
        <v>33320.0</v>
      </c>
      <c r="N68" s="5" t="s">
        <v>914</v>
      </c>
      <c r="O68" s="5" t="s">
        <v>48</v>
      </c>
      <c r="P68" s="5" t="s">
        <v>49</v>
      </c>
      <c r="U68" s="5" t="s">
        <v>52</v>
      </c>
      <c r="V68" s="5">
        <v>5.56578486E8</v>
      </c>
      <c r="X68" s="5" t="s">
        <v>939</v>
      </c>
      <c r="Z68" s="5" t="s">
        <v>940</v>
      </c>
      <c r="AA68" s="6" t="s">
        <v>941</v>
      </c>
      <c r="AB68" s="6" t="s">
        <v>942</v>
      </c>
      <c r="AC68" s="5" t="s">
        <v>939</v>
      </c>
      <c r="AD68" s="5" t="s">
        <v>943</v>
      </c>
      <c r="AE68" s="5" t="s">
        <v>164</v>
      </c>
      <c r="AG68" s="5" t="s">
        <v>59</v>
      </c>
      <c r="AH68" s="5" t="s">
        <v>99</v>
      </c>
      <c r="AI68" s="7" t="str">
        <f t="shared" si="1"/>
        <v>Gratuit</v>
      </c>
      <c r="AJ68" s="7" t="str">
        <f t="shared" si="2"/>
        <v>gratuit sans restriction</v>
      </c>
      <c r="AK68" s="7" t="str">
        <f t="shared" si="3"/>
        <v>gratuit sans restriction</v>
      </c>
      <c r="AL68" s="5" t="s">
        <v>131</v>
      </c>
      <c r="AM68" s="5" t="s">
        <v>100</v>
      </c>
      <c r="AN68" s="5" t="s">
        <v>944</v>
      </c>
    </row>
    <row r="69">
      <c r="A69" s="4" t="s">
        <v>945</v>
      </c>
      <c r="B69" s="5" t="s">
        <v>946</v>
      </c>
      <c r="C69" s="5" t="s">
        <v>42</v>
      </c>
      <c r="D69" s="5" t="s">
        <v>42</v>
      </c>
      <c r="E69" s="5" t="s">
        <v>43</v>
      </c>
      <c r="H69" s="5" t="s">
        <v>947</v>
      </c>
      <c r="I69" s="5" t="s">
        <v>948</v>
      </c>
      <c r="J69" s="5">
        <v>8.0</v>
      </c>
      <c r="K69" s="5" t="s">
        <v>949</v>
      </c>
      <c r="L69" s="5">
        <v>33110.0</v>
      </c>
      <c r="M69" s="5">
        <v>33069.0</v>
      </c>
      <c r="N69" s="5" t="s">
        <v>950</v>
      </c>
      <c r="O69" s="5" t="s">
        <v>48</v>
      </c>
      <c r="P69" s="5" t="s">
        <v>49</v>
      </c>
      <c r="R69" s="5" t="s">
        <v>951</v>
      </c>
      <c r="S69" s="5" t="s">
        <v>952</v>
      </c>
      <c r="U69" s="5" t="s">
        <v>52</v>
      </c>
      <c r="V69" s="5">
        <v>5.56072048E8</v>
      </c>
      <c r="X69" s="5" t="s">
        <v>953</v>
      </c>
      <c r="Z69" s="5" t="s">
        <v>954</v>
      </c>
      <c r="AA69" s="6" t="s">
        <v>955</v>
      </c>
      <c r="AB69" s="6" t="s">
        <v>956</v>
      </c>
      <c r="AC69" s="5" t="s">
        <v>953</v>
      </c>
      <c r="AD69" s="5" t="s">
        <v>957</v>
      </c>
      <c r="AE69" s="5" t="s">
        <v>894</v>
      </c>
      <c r="AF69" s="5" t="s">
        <v>58</v>
      </c>
      <c r="AG69" s="5" t="s">
        <v>79</v>
      </c>
      <c r="AH69" s="5" t="s">
        <v>99</v>
      </c>
      <c r="AI69" s="7" t="str">
        <f t="shared" si="1"/>
        <v>Gratuit</v>
      </c>
      <c r="AJ69" s="7" t="str">
        <f t="shared" si="2"/>
        <v>gratuit sans restriction</v>
      </c>
      <c r="AK69" s="7" t="str">
        <f t="shared" si="3"/>
        <v>gratuit sans restriction</v>
      </c>
      <c r="AL69" s="5" t="s">
        <v>131</v>
      </c>
      <c r="AM69" s="5" t="s">
        <v>61</v>
      </c>
      <c r="AN69" s="5" t="s">
        <v>958</v>
      </c>
      <c r="AP69" s="5" t="s">
        <v>959</v>
      </c>
    </row>
    <row r="70">
      <c r="A70" s="4" t="s">
        <v>960</v>
      </c>
      <c r="B70" s="5" t="s">
        <v>961</v>
      </c>
      <c r="C70" s="5" t="s">
        <v>119</v>
      </c>
      <c r="D70" s="5" t="s">
        <v>138</v>
      </c>
      <c r="E70" s="5" t="s">
        <v>87</v>
      </c>
      <c r="H70" s="5" t="s">
        <v>962</v>
      </c>
      <c r="I70" s="5" t="s">
        <v>963</v>
      </c>
      <c r="J70" s="5">
        <v>58.0</v>
      </c>
      <c r="K70" s="5" t="s">
        <v>964</v>
      </c>
      <c r="L70" s="5">
        <v>33185.0</v>
      </c>
      <c r="M70" s="5">
        <v>33200.0</v>
      </c>
      <c r="N70" s="5" t="s">
        <v>965</v>
      </c>
      <c r="O70" s="5" t="s">
        <v>48</v>
      </c>
      <c r="P70" s="5" t="s">
        <v>49</v>
      </c>
      <c r="R70" s="5" t="s">
        <v>966</v>
      </c>
      <c r="S70" s="5" t="s">
        <v>967</v>
      </c>
      <c r="U70" s="5" t="s">
        <v>52</v>
      </c>
      <c r="V70" s="5">
        <v>5.5634941E8</v>
      </c>
      <c r="X70" s="5" t="s">
        <v>968</v>
      </c>
      <c r="Z70" s="5" t="s">
        <v>969</v>
      </c>
      <c r="AA70" s="6" t="s">
        <v>970</v>
      </c>
      <c r="AB70" s="6" t="s">
        <v>971</v>
      </c>
      <c r="AC70" s="5" t="s">
        <v>968</v>
      </c>
      <c r="AD70" s="5" t="s">
        <v>972</v>
      </c>
      <c r="AE70" s="5" t="s">
        <v>164</v>
      </c>
      <c r="AF70" s="5" t="s">
        <v>58</v>
      </c>
      <c r="AG70" s="5" t="s">
        <v>114</v>
      </c>
      <c r="AH70" s="5" t="s">
        <v>314</v>
      </c>
      <c r="AI70" s="7" t="str">
        <f t="shared" si="1"/>
        <v>Gratuit,</v>
      </c>
      <c r="AJ70" s="7" t="str">
        <f t="shared" si="2"/>
        <v>avec conditions</v>
      </c>
      <c r="AK70" s="7" t="str">
        <f t="shared" si="3"/>
        <v>avec conditions</v>
      </c>
      <c r="AL70" s="5" t="s">
        <v>131</v>
      </c>
      <c r="AM70" s="5" t="s">
        <v>100</v>
      </c>
      <c r="AN70" s="5" t="s">
        <v>973</v>
      </c>
      <c r="AO70" s="5" t="s">
        <v>528</v>
      </c>
      <c r="AP70" s="5" t="s">
        <v>974</v>
      </c>
    </row>
    <row r="71">
      <c r="A71" s="4" t="s">
        <v>975</v>
      </c>
      <c r="B71" s="5" t="s">
        <v>976</v>
      </c>
      <c r="C71" s="5" t="s">
        <v>137</v>
      </c>
      <c r="D71" s="5" t="s">
        <v>138</v>
      </c>
      <c r="E71" s="5" t="s">
        <v>87</v>
      </c>
      <c r="F71" s="5" t="s">
        <v>977</v>
      </c>
      <c r="H71" s="5" t="s">
        <v>978</v>
      </c>
      <c r="I71" s="5" t="s">
        <v>979</v>
      </c>
      <c r="J71" s="5">
        <v>8.0</v>
      </c>
      <c r="K71" s="5" t="s">
        <v>980</v>
      </c>
      <c r="L71" s="5">
        <v>33320.0</v>
      </c>
      <c r="M71" s="5">
        <v>33519.0</v>
      </c>
      <c r="N71" s="5" t="s">
        <v>981</v>
      </c>
      <c r="O71" s="5" t="s">
        <v>48</v>
      </c>
      <c r="P71" s="5" t="s">
        <v>49</v>
      </c>
      <c r="R71" s="5" t="s">
        <v>982</v>
      </c>
      <c r="S71" s="5" t="s">
        <v>983</v>
      </c>
      <c r="U71" s="5" t="s">
        <v>52</v>
      </c>
      <c r="V71" s="5">
        <v>5.56356096E8</v>
      </c>
      <c r="X71" s="5" t="s">
        <v>984</v>
      </c>
      <c r="Z71" s="5" t="s">
        <v>985</v>
      </c>
      <c r="AA71" s="6" t="s">
        <v>986</v>
      </c>
      <c r="AB71" s="5" t="s">
        <v>987</v>
      </c>
      <c r="AC71" s="5" t="s">
        <v>984</v>
      </c>
      <c r="AD71" s="5" t="s">
        <v>988</v>
      </c>
      <c r="AE71" s="5" t="s">
        <v>723</v>
      </c>
      <c r="AF71" s="5" t="s">
        <v>58</v>
      </c>
      <c r="AG71" s="5" t="s">
        <v>59</v>
      </c>
      <c r="AH71" s="5" t="s">
        <v>60</v>
      </c>
      <c r="AI71" s="7" t="str">
        <f t="shared" si="1"/>
        <v>Gratuit,</v>
      </c>
      <c r="AJ71" s="7" t="str">
        <f t="shared" si="2"/>
        <v>avec conditions</v>
      </c>
      <c r="AK71" s="7" t="str">
        <f t="shared" si="3"/>
        <v>avec conditions</v>
      </c>
      <c r="AL71" s="5" t="s">
        <v>131</v>
      </c>
      <c r="AM71" s="5" t="s">
        <v>100</v>
      </c>
      <c r="AN71" s="5" t="s">
        <v>989</v>
      </c>
      <c r="AP71" s="5" t="s">
        <v>990</v>
      </c>
    </row>
    <row r="72">
      <c r="A72" s="4" t="s">
        <v>991</v>
      </c>
      <c r="B72" s="5" t="s">
        <v>992</v>
      </c>
      <c r="C72" s="5" t="s">
        <v>42</v>
      </c>
      <c r="D72" s="5" t="s">
        <v>42</v>
      </c>
      <c r="E72" s="5" t="s">
        <v>43</v>
      </c>
      <c r="H72" s="5" t="s">
        <v>993</v>
      </c>
      <c r="I72" s="5" t="s">
        <v>994</v>
      </c>
      <c r="J72" s="5">
        <v>55.0</v>
      </c>
      <c r="K72" s="5" t="s">
        <v>848</v>
      </c>
      <c r="L72" s="5">
        <v>33700.0</v>
      </c>
      <c r="M72" s="5">
        <v>33281.0</v>
      </c>
      <c r="N72" s="5" t="s">
        <v>477</v>
      </c>
      <c r="O72" s="5" t="s">
        <v>48</v>
      </c>
      <c r="P72" s="5" t="s">
        <v>49</v>
      </c>
      <c r="R72" s="5" t="s">
        <v>995</v>
      </c>
      <c r="S72" s="5" t="s">
        <v>996</v>
      </c>
      <c r="U72" s="5" t="s">
        <v>52</v>
      </c>
      <c r="V72" s="5">
        <v>5.5700151E8</v>
      </c>
      <c r="X72" s="5" t="s">
        <v>997</v>
      </c>
      <c r="Z72" s="5" t="s">
        <v>998</v>
      </c>
      <c r="AA72" s="6" t="s">
        <v>999</v>
      </c>
      <c r="AC72" s="5" t="s">
        <v>997</v>
      </c>
      <c r="AD72" s="5" t="s">
        <v>1000</v>
      </c>
      <c r="AE72" s="5" t="s">
        <v>78</v>
      </c>
      <c r="AF72" s="5" t="s">
        <v>58</v>
      </c>
      <c r="AG72" s="5" t="s">
        <v>59</v>
      </c>
      <c r="AH72" s="5" t="s">
        <v>80</v>
      </c>
      <c r="AI72" s="7" t="str">
        <f t="shared" si="1"/>
        <v>Payant</v>
      </c>
      <c r="AJ72" s="7" t="str">
        <f t="shared" si="2"/>
        <v>avec conditions</v>
      </c>
      <c r="AK72" s="7" t="str">
        <f t="shared" si="3"/>
        <v>avec conditions</v>
      </c>
      <c r="AM72" s="5" t="s">
        <v>61</v>
      </c>
      <c r="AN72" s="5" t="s">
        <v>1001</v>
      </c>
      <c r="AP72" s="5" t="s">
        <v>1002</v>
      </c>
    </row>
    <row r="73">
      <c r="A73" s="4" t="s">
        <v>1003</v>
      </c>
      <c r="B73" s="5" t="s">
        <v>1004</v>
      </c>
      <c r="C73" s="5" t="s">
        <v>119</v>
      </c>
      <c r="D73" s="5" t="s">
        <v>42</v>
      </c>
      <c r="E73" s="5" t="s">
        <v>43</v>
      </c>
      <c r="H73" s="5" t="s">
        <v>1005</v>
      </c>
      <c r="I73" s="5" t="s">
        <v>1006</v>
      </c>
      <c r="K73" s="5" t="s">
        <v>1007</v>
      </c>
      <c r="L73" s="5">
        <v>33700.0</v>
      </c>
      <c r="M73" s="5">
        <v>33281.0</v>
      </c>
      <c r="N73" s="5" t="s">
        <v>477</v>
      </c>
      <c r="O73" s="5" t="s">
        <v>48</v>
      </c>
      <c r="P73" s="5" t="s">
        <v>49</v>
      </c>
      <c r="R73" s="5" t="s">
        <v>1008</v>
      </c>
      <c r="S73" s="5" t="s">
        <v>1009</v>
      </c>
      <c r="U73" s="5" t="s">
        <v>52</v>
      </c>
      <c r="V73" s="5">
        <v>5.56995533E8</v>
      </c>
      <c r="X73" s="5" t="s">
        <v>1010</v>
      </c>
      <c r="Z73" s="5" t="s">
        <v>1011</v>
      </c>
      <c r="AA73" s="6" t="s">
        <v>1012</v>
      </c>
      <c r="AB73" s="6" t="s">
        <v>1013</v>
      </c>
      <c r="AC73" s="5" t="s">
        <v>1010</v>
      </c>
      <c r="AD73" s="5" t="s">
        <v>1014</v>
      </c>
      <c r="AE73" s="5" t="s">
        <v>57</v>
      </c>
      <c r="AF73" s="5" t="s">
        <v>58</v>
      </c>
      <c r="AG73" s="5" t="s">
        <v>79</v>
      </c>
      <c r="AH73" s="5" t="s">
        <v>314</v>
      </c>
      <c r="AI73" s="7" t="str">
        <f t="shared" si="1"/>
        <v>Gratuit,</v>
      </c>
      <c r="AJ73" s="7" t="str">
        <f t="shared" si="2"/>
        <v>avec conditions</v>
      </c>
      <c r="AK73" s="7" t="str">
        <f t="shared" si="3"/>
        <v>avec conditions</v>
      </c>
      <c r="AL73" s="5" t="s">
        <v>131</v>
      </c>
      <c r="AM73" s="5" t="s">
        <v>61</v>
      </c>
      <c r="AN73" s="5" t="s">
        <v>1015</v>
      </c>
      <c r="AO73" s="5" t="s">
        <v>166</v>
      </c>
      <c r="AP73" s="5" t="s">
        <v>1016</v>
      </c>
    </row>
    <row r="74">
      <c r="A74" s="4" t="s">
        <v>1017</v>
      </c>
      <c r="B74" s="5" t="s">
        <v>1018</v>
      </c>
      <c r="C74" s="5" t="s">
        <v>42</v>
      </c>
      <c r="D74" s="5" t="s">
        <v>42</v>
      </c>
      <c r="E74" s="5" t="s">
        <v>43</v>
      </c>
      <c r="H74" s="5" t="s">
        <v>1019</v>
      </c>
      <c r="I74" s="5" t="s">
        <v>1020</v>
      </c>
      <c r="K74" s="5" t="s">
        <v>1020</v>
      </c>
      <c r="L74" s="5">
        <v>33697.0</v>
      </c>
      <c r="M74" s="5">
        <v>33281.0</v>
      </c>
      <c r="N74" s="5" t="s">
        <v>1021</v>
      </c>
      <c r="O74" s="5" t="s">
        <v>48</v>
      </c>
      <c r="P74" s="5" t="s">
        <v>49</v>
      </c>
      <c r="Q74" s="5" t="s">
        <v>1022</v>
      </c>
      <c r="R74" s="5" t="s">
        <v>1023</v>
      </c>
      <c r="S74" s="5" t="s">
        <v>1024</v>
      </c>
      <c r="U74" s="5" t="s">
        <v>52</v>
      </c>
      <c r="V74" s="5">
        <v>5.5700024E8</v>
      </c>
      <c r="X74" s="5" t="s">
        <v>1025</v>
      </c>
      <c r="Z74" s="5" t="s">
        <v>1026</v>
      </c>
      <c r="AA74" s="6" t="s">
        <v>1027</v>
      </c>
      <c r="AB74" s="6" t="s">
        <v>1028</v>
      </c>
      <c r="AC74" s="5" t="s">
        <v>1025</v>
      </c>
      <c r="AD74" s="5" t="s">
        <v>1029</v>
      </c>
      <c r="AE74" s="5" t="s">
        <v>1030</v>
      </c>
      <c r="AF74" s="5" t="s">
        <v>58</v>
      </c>
      <c r="AG74" s="5" t="s">
        <v>114</v>
      </c>
      <c r="AH74" s="5" t="s">
        <v>99</v>
      </c>
      <c r="AI74" s="7" t="str">
        <f t="shared" si="1"/>
        <v>Gratuit</v>
      </c>
      <c r="AJ74" s="7" t="str">
        <f t="shared" si="2"/>
        <v>gratuit sans restriction</v>
      </c>
      <c r="AK74" s="7" t="str">
        <f t="shared" si="3"/>
        <v>gratuit sans restriction</v>
      </c>
      <c r="AL74" s="5" t="s">
        <v>131</v>
      </c>
      <c r="AM74" s="5" t="s">
        <v>61</v>
      </c>
      <c r="AN74" s="5" t="s">
        <v>1031</v>
      </c>
      <c r="AP74" s="5" t="s">
        <v>1032</v>
      </c>
    </row>
    <row r="75">
      <c r="A75" s="4" t="s">
        <v>1033</v>
      </c>
      <c r="B75" s="5" t="s">
        <v>1034</v>
      </c>
      <c r="C75" s="5" t="s">
        <v>42</v>
      </c>
      <c r="D75" s="5" t="s">
        <v>42</v>
      </c>
      <c r="E75" s="5" t="s">
        <v>43</v>
      </c>
      <c r="H75" s="5" t="s">
        <v>1035</v>
      </c>
      <c r="I75" s="5" t="s">
        <v>1036</v>
      </c>
      <c r="J75" s="5">
        <v>11.0</v>
      </c>
      <c r="K75" s="5" t="s">
        <v>1037</v>
      </c>
      <c r="L75" s="5">
        <v>33160.0</v>
      </c>
      <c r="M75" s="5">
        <v>33449.0</v>
      </c>
      <c r="N75" s="5" t="s">
        <v>492</v>
      </c>
      <c r="O75" s="5" t="s">
        <v>48</v>
      </c>
      <c r="P75" s="5" t="s">
        <v>49</v>
      </c>
      <c r="R75" s="5" t="s">
        <v>1038</v>
      </c>
      <c r="S75" s="5" t="s">
        <v>1039</v>
      </c>
      <c r="U75" s="5" t="s">
        <v>52</v>
      </c>
      <c r="V75" s="5">
        <v>5.56058219E8</v>
      </c>
      <c r="X75" s="5" t="s">
        <v>1040</v>
      </c>
      <c r="Z75" s="5" t="s">
        <v>1041</v>
      </c>
      <c r="AA75" s="6" t="s">
        <v>1042</v>
      </c>
      <c r="AC75" s="5" t="s">
        <v>1040</v>
      </c>
      <c r="AD75" s="5" t="s">
        <v>1043</v>
      </c>
      <c r="AE75" s="5" t="s">
        <v>57</v>
      </c>
      <c r="AF75" s="5" t="s">
        <v>58</v>
      </c>
      <c r="AG75" s="5" t="s">
        <v>114</v>
      </c>
      <c r="AH75" s="5" t="s">
        <v>99</v>
      </c>
      <c r="AI75" s="7" t="str">
        <f t="shared" si="1"/>
        <v>Gratuit</v>
      </c>
      <c r="AJ75" s="7" t="str">
        <f t="shared" si="2"/>
        <v>gratuit sans restriction</v>
      </c>
      <c r="AK75" s="7" t="str">
        <f t="shared" si="3"/>
        <v>gratuit sans restriction</v>
      </c>
      <c r="AL75" s="5" t="s">
        <v>131</v>
      </c>
      <c r="AM75" s="5" t="s">
        <v>100</v>
      </c>
      <c r="AN75" s="5" t="s">
        <v>1044</v>
      </c>
      <c r="AP75" s="5" t="s">
        <v>1045</v>
      </c>
    </row>
    <row r="76">
      <c r="A76" s="4" t="s">
        <v>1046</v>
      </c>
      <c r="B76" s="5" t="s">
        <v>1047</v>
      </c>
      <c r="C76" s="5" t="s">
        <v>42</v>
      </c>
      <c r="D76" s="5" t="s">
        <v>42</v>
      </c>
      <c r="E76" s="5" t="s">
        <v>43</v>
      </c>
      <c r="H76" s="5" t="s">
        <v>1048</v>
      </c>
      <c r="I76" s="5" t="s">
        <v>1049</v>
      </c>
      <c r="J76" s="5">
        <v>23.0</v>
      </c>
      <c r="K76" s="5" t="s">
        <v>1050</v>
      </c>
      <c r="L76" s="5">
        <v>33160.0</v>
      </c>
      <c r="M76" s="5">
        <v>33449.0</v>
      </c>
      <c r="N76" s="5" t="s">
        <v>492</v>
      </c>
      <c r="O76" s="5" t="s">
        <v>48</v>
      </c>
      <c r="P76" s="5" t="s">
        <v>49</v>
      </c>
      <c r="R76" s="5" t="s">
        <v>1051</v>
      </c>
      <c r="S76" s="5" t="s">
        <v>1052</v>
      </c>
      <c r="U76" s="5" t="s">
        <v>52</v>
      </c>
      <c r="V76" s="5">
        <v>6.49288873E8</v>
      </c>
      <c r="X76" s="5" t="s">
        <v>1053</v>
      </c>
      <c r="Z76" s="5" t="s">
        <v>1054</v>
      </c>
      <c r="AA76" s="6" t="s">
        <v>1055</v>
      </c>
      <c r="AC76" s="5" t="s">
        <v>1053</v>
      </c>
      <c r="AD76" s="5" t="s">
        <v>1056</v>
      </c>
      <c r="AE76" s="5" t="s">
        <v>1057</v>
      </c>
      <c r="AF76" s="5" t="s">
        <v>58</v>
      </c>
      <c r="AG76" s="5" t="s">
        <v>114</v>
      </c>
      <c r="AH76" s="5" t="s">
        <v>99</v>
      </c>
      <c r="AI76" s="7" t="str">
        <f t="shared" si="1"/>
        <v>Gratuit</v>
      </c>
      <c r="AJ76" s="7" t="str">
        <f t="shared" si="2"/>
        <v>gratuit sans restriction</v>
      </c>
      <c r="AK76" s="7" t="str">
        <f t="shared" si="3"/>
        <v>gratuit sans restriction</v>
      </c>
      <c r="AL76" s="5" t="s">
        <v>131</v>
      </c>
      <c r="AM76" s="5" t="s">
        <v>100</v>
      </c>
      <c r="AN76" s="5" t="s">
        <v>1058</v>
      </c>
      <c r="AO76" s="5" t="s">
        <v>133</v>
      </c>
      <c r="AP76" s="5" t="s">
        <v>1059</v>
      </c>
    </row>
    <row r="77">
      <c r="A77" s="4" t="s">
        <v>1060</v>
      </c>
      <c r="B77" s="5" t="s">
        <v>1061</v>
      </c>
      <c r="C77" s="5" t="s">
        <v>137</v>
      </c>
      <c r="D77" s="5" t="s">
        <v>138</v>
      </c>
      <c r="E77" s="5" t="s">
        <v>87</v>
      </c>
      <c r="F77" s="5" t="s">
        <v>1062</v>
      </c>
      <c r="H77" s="5" t="s">
        <v>1063</v>
      </c>
      <c r="I77" s="5" t="s">
        <v>1064</v>
      </c>
      <c r="K77" s="5" t="s">
        <v>1064</v>
      </c>
      <c r="L77" s="5">
        <v>33160.0</v>
      </c>
      <c r="M77" s="5">
        <v>33449.0</v>
      </c>
      <c r="N77" s="5" t="s">
        <v>492</v>
      </c>
      <c r="O77" s="5" t="s">
        <v>48</v>
      </c>
      <c r="P77" s="5" t="s">
        <v>49</v>
      </c>
      <c r="R77" s="5" t="s">
        <v>1065</v>
      </c>
      <c r="S77" s="5" t="s">
        <v>1066</v>
      </c>
      <c r="U77" s="5" t="s">
        <v>52</v>
      </c>
      <c r="V77" s="5">
        <v>5.5793185E8</v>
      </c>
      <c r="X77" s="5" t="s">
        <v>1067</v>
      </c>
      <c r="Z77" s="5" t="s">
        <v>1068</v>
      </c>
      <c r="AA77" s="6" t="s">
        <v>1069</v>
      </c>
      <c r="AB77" s="6" t="s">
        <v>1070</v>
      </c>
      <c r="AC77" s="5" t="s">
        <v>1067</v>
      </c>
      <c r="AD77" s="5" t="s">
        <v>1071</v>
      </c>
      <c r="AE77" s="5" t="s">
        <v>313</v>
      </c>
      <c r="AF77" s="5" t="s">
        <v>58</v>
      </c>
      <c r="AG77" s="5" t="s">
        <v>79</v>
      </c>
      <c r="AH77" s="5" t="s">
        <v>60</v>
      </c>
      <c r="AI77" s="7" t="str">
        <f t="shared" si="1"/>
        <v>Gratuit,</v>
      </c>
      <c r="AJ77" s="7" t="str">
        <f t="shared" si="2"/>
        <v>avec conditions</v>
      </c>
      <c r="AK77" s="7" t="str">
        <f t="shared" si="3"/>
        <v>avec conditions</v>
      </c>
      <c r="AL77" s="5" t="s">
        <v>131</v>
      </c>
      <c r="AM77" s="5" t="s">
        <v>61</v>
      </c>
      <c r="AN77" s="5" t="s">
        <v>1072</v>
      </c>
      <c r="AP77" s="5" t="s">
        <v>1073</v>
      </c>
    </row>
    <row r="78">
      <c r="A78" s="4" t="s">
        <v>1074</v>
      </c>
      <c r="B78" s="5" t="s">
        <v>1075</v>
      </c>
      <c r="C78" s="5" t="s">
        <v>1076</v>
      </c>
      <c r="D78" s="5" t="s">
        <v>42</v>
      </c>
      <c r="E78" s="5" t="s">
        <v>43</v>
      </c>
      <c r="H78" s="5" t="s">
        <v>1077</v>
      </c>
      <c r="I78" s="5" t="s">
        <v>1078</v>
      </c>
      <c r="J78" s="5">
        <v>60.0</v>
      </c>
      <c r="K78" s="5" t="s">
        <v>1079</v>
      </c>
      <c r="L78" s="5">
        <v>33160.0</v>
      </c>
      <c r="M78" s="5">
        <v>33449.0</v>
      </c>
      <c r="N78" s="5" t="s">
        <v>492</v>
      </c>
      <c r="O78" s="5" t="s">
        <v>48</v>
      </c>
      <c r="P78" s="5" t="s">
        <v>49</v>
      </c>
      <c r="R78" s="5" t="s">
        <v>1080</v>
      </c>
      <c r="S78" s="5" t="s">
        <v>1081</v>
      </c>
      <c r="U78" s="5" t="s">
        <v>52</v>
      </c>
      <c r="V78" s="5">
        <v>5.56054932E8</v>
      </c>
      <c r="X78" s="5" t="s">
        <v>1082</v>
      </c>
      <c r="Z78" s="5" t="s">
        <v>1083</v>
      </c>
      <c r="AA78" s="6" t="s">
        <v>1084</v>
      </c>
      <c r="AC78" s="5" t="s">
        <v>1082</v>
      </c>
      <c r="AD78" s="5" t="s">
        <v>1085</v>
      </c>
      <c r="AE78" s="5" t="s">
        <v>78</v>
      </c>
      <c r="AF78" s="5" t="s">
        <v>58</v>
      </c>
      <c r="AG78" s="5" t="s">
        <v>59</v>
      </c>
      <c r="AH78" s="5" t="s">
        <v>314</v>
      </c>
      <c r="AI78" s="7" t="str">
        <f t="shared" si="1"/>
        <v>Gratuit,</v>
      </c>
      <c r="AJ78" s="7" t="str">
        <f t="shared" si="2"/>
        <v>avec conditions</v>
      </c>
      <c r="AK78" s="7" t="str">
        <f t="shared" si="3"/>
        <v>avec conditions</v>
      </c>
      <c r="AM78" s="5" t="s">
        <v>61</v>
      </c>
      <c r="AN78" s="5" t="s">
        <v>1086</v>
      </c>
      <c r="AO78" s="5" t="s">
        <v>528</v>
      </c>
      <c r="AP78" s="5" t="s">
        <v>1087</v>
      </c>
    </row>
    <row r="79">
      <c r="A79" s="4" t="s">
        <v>1088</v>
      </c>
      <c r="B79" s="5" t="s">
        <v>1089</v>
      </c>
      <c r="C79" s="5" t="s">
        <v>274</v>
      </c>
      <c r="D79" s="5" t="s">
        <v>138</v>
      </c>
      <c r="E79" s="5" t="s">
        <v>87</v>
      </c>
      <c r="F79" s="5" t="s">
        <v>139</v>
      </c>
      <c r="H79" s="5" t="s">
        <v>1090</v>
      </c>
      <c r="I79" s="5" t="s">
        <v>1091</v>
      </c>
      <c r="J79" s="5">
        <v>13.0</v>
      </c>
      <c r="K79" s="5" t="s">
        <v>1092</v>
      </c>
      <c r="L79" s="5">
        <v>33100.0</v>
      </c>
      <c r="M79" s="5">
        <v>33063.0</v>
      </c>
      <c r="N79" s="5" t="s">
        <v>47</v>
      </c>
      <c r="O79" s="5" t="s">
        <v>48</v>
      </c>
      <c r="P79" s="5" t="s">
        <v>49</v>
      </c>
      <c r="R79" s="5" t="s">
        <v>1093</v>
      </c>
      <c r="S79" s="5" t="s">
        <v>1094</v>
      </c>
      <c r="U79" s="5" t="s">
        <v>52</v>
      </c>
      <c r="V79" s="5">
        <v>5.24576504E8</v>
      </c>
      <c r="X79" s="5" t="s">
        <v>1095</v>
      </c>
      <c r="Z79" s="5" t="s">
        <v>1096</v>
      </c>
      <c r="AA79" s="6" t="s">
        <v>1097</v>
      </c>
      <c r="AB79" s="6" t="s">
        <v>1098</v>
      </c>
      <c r="AC79" s="5" t="s">
        <v>1095</v>
      </c>
      <c r="AD79" s="5" t="s">
        <v>327</v>
      </c>
      <c r="AE79" s="5" t="s">
        <v>78</v>
      </c>
      <c r="AF79" s="5" t="s">
        <v>58</v>
      </c>
      <c r="AG79" s="5" t="s">
        <v>59</v>
      </c>
      <c r="AH79" s="5" t="s">
        <v>80</v>
      </c>
      <c r="AI79" s="7" t="str">
        <f t="shared" si="1"/>
        <v>Payant</v>
      </c>
      <c r="AJ79" s="7" t="str">
        <f t="shared" si="2"/>
        <v>avec conditions</v>
      </c>
      <c r="AK79" s="7" t="str">
        <f t="shared" si="3"/>
        <v>avec conditions</v>
      </c>
      <c r="AL79" s="5" t="s">
        <v>131</v>
      </c>
      <c r="AM79" s="5" t="s">
        <v>61</v>
      </c>
      <c r="AN79" s="5" t="s">
        <v>1099</v>
      </c>
      <c r="AP79" s="5" t="s">
        <v>1100</v>
      </c>
    </row>
    <row r="80">
      <c r="A80" s="4" t="s">
        <v>1101</v>
      </c>
      <c r="B80" s="5" t="s">
        <v>1102</v>
      </c>
      <c r="C80" s="5" t="s">
        <v>137</v>
      </c>
      <c r="D80" s="5" t="s">
        <v>138</v>
      </c>
      <c r="E80" s="5" t="s">
        <v>87</v>
      </c>
      <c r="F80" s="5" t="s">
        <v>1062</v>
      </c>
      <c r="H80" s="5" t="s">
        <v>1063</v>
      </c>
      <c r="I80" s="5" t="s">
        <v>1103</v>
      </c>
      <c r="J80" s="5">
        <v>26.0</v>
      </c>
      <c r="K80" s="5" t="s">
        <v>1104</v>
      </c>
      <c r="L80" s="5">
        <v>33160.0</v>
      </c>
      <c r="M80" s="5">
        <v>33449.0</v>
      </c>
      <c r="N80" s="5" t="s">
        <v>492</v>
      </c>
      <c r="O80" s="5" t="s">
        <v>48</v>
      </c>
      <c r="P80" s="5" t="s">
        <v>49</v>
      </c>
      <c r="R80" s="5" t="s">
        <v>1105</v>
      </c>
      <c r="S80" s="5" t="s">
        <v>1106</v>
      </c>
      <c r="U80" s="5" t="s">
        <v>52</v>
      </c>
      <c r="V80" s="5">
        <v>5.56014085E8</v>
      </c>
      <c r="X80" s="5" t="s">
        <v>1107</v>
      </c>
      <c r="Z80" s="5" t="s">
        <v>1068</v>
      </c>
      <c r="AA80" s="6" t="s">
        <v>1069</v>
      </c>
      <c r="AB80" s="6" t="s">
        <v>1070</v>
      </c>
      <c r="AC80" s="5" t="s">
        <v>1107</v>
      </c>
      <c r="AD80" s="5" t="s">
        <v>1108</v>
      </c>
      <c r="AE80" s="5" t="s">
        <v>313</v>
      </c>
      <c r="AF80" s="5" t="s">
        <v>58</v>
      </c>
      <c r="AG80" s="5" t="s">
        <v>79</v>
      </c>
      <c r="AH80" s="5" t="s">
        <v>60</v>
      </c>
      <c r="AI80" s="7" t="str">
        <f t="shared" si="1"/>
        <v>Gratuit,</v>
      </c>
      <c r="AJ80" s="7" t="str">
        <f t="shared" si="2"/>
        <v>avec conditions</v>
      </c>
      <c r="AK80" s="7" t="str">
        <f t="shared" si="3"/>
        <v>avec conditions</v>
      </c>
      <c r="AL80" s="5" t="s">
        <v>131</v>
      </c>
      <c r="AM80" s="5" t="s">
        <v>61</v>
      </c>
      <c r="AN80" s="5" t="s">
        <v>1072</v>
      </c>
      <c r="AP80" s="5" t="s">
        <v>1109</v>
      </c>
    </row>
    <row r="81">
      <c r="A81" s="4" t="s">
        <v>1110</v>
      </c>
      <c r="B81" s="5" t="s">
        <v>1111</v>
      </c>
      <c r="C81" s="5" t="s">
        <v>274</v>
      </c>
      <c r="D81" s="5" t="s">
        <v>138</v>
      </c>
      <c r="E81" s="5" t="s">
        <v>87</v>
      </c>
      <c r="F81" s="5" t="s">
        <v>911</v>
      </c>
      <c r="H81" s="5" t="s">
        <v>912</v>
      </c>
      <c r="I81" s="5" t="s">
        <v>1112</v>
      </c>
      <c r="K81" s="5" t="s">
        <v>1113</v>
      </c>
      <c r="L81" s="5">
        <v>33320.0</v>
      </c>
      <c r="M81" s="5">
        <v>33162.0</v>
      </c>
      <c r="N81" s="5" t="s">
        <v>914</v>
      </c>
      <c r="O81" s="5" t="s">
        <v>48</v>
      </c>
      <c r="P81" s="5" t="s">
        <v>49</v>
      </c>
      <c r="Q81" s="5" t="s">
        <v>1114</v>
      </c>
      <c r="R81" s="5" t="s">
        <v>1115</v>
      </c>
      <c r="S81" s="5" t="s">
        <v>1116</v>
      </c>
      <c r="U81" s="5" t="s">
        <v>52</v>
      </c>
      <c r="V81" s="5">
        <v>9.81039243E8</v>
      </c>
      <c r="W81" s="5">
        <v>7.77260924E8</v>
      </c>
      <c r="X81" s="5" t="s">
        <v>1117</v>
      </c>
      <c r="Z81" s="5" t="s">
        <v>918</v>
      </c>
      <c r="AA81" s="6" t="s">
        <v>919</v>
      </c>
      <c r="AB81" s="6" t="s">
        <v>920</v>
      </c>
      <c r="AC81" s="5" t="s">
        <v>1117</v>
      </c>
      <c r="AD81" s="5" t="s">
        <v>1118</v>
      </c>
      <c r="AE81" s="5" t="s">
        <v>57</v>
      </c>
      <c r="AF81" s="5" t="s">
        <v>58</v>
      </c>
      <c r="AG81" s="5" t="s">
        <v>79</v>
      </c>
      <c r="AH81" s="5" t="s">
        <v>314</v>
      </c>
      <c r="AI81" s="7" t="str">
        <f t="shared" si="1"/>
        <v>Gratuit,</v>
      </c>
      <c r="AJ81" s="7" t="str">
        <f t="shared" si="2"/>
        <v>avec conditions</v>
      </c>
      <c r="AK81" s="7" t="str">
        <f t="shared" si="3"/>
        <v>avec conditions</v>
      </c>
      <c r="AL81" s="5" t="s">
        <v>131</v>
      </c>
      <c r="AM81" s="5" t="s">
        <v>61</v>
      </c>
      <c r="AN81" s="5" t="s">
        <v>922</v>
      </c>
      <c r="AO81" s="5" t="s">
        <v>133</v>
      </c>
      <c r="AP81" s="5" t="s">
        <v>1119</v>
      </c>
    </row>
    <row r="82">
      <c r="A82" s="4" t="s">
        <v>1120</v>
      </c>
      <c r="B82" s="5" t="s">
        <v>1121</v>
      </c>
      <c r="C82" s="5" t="s">
        <v>42</v>
      </c>
      <c r="D82" s="5" t="s">
        <v>42</v>
      </c>
      <c r="E82" s="5" t="s">
        <v>43</v>
      </c>
      <c r="H82" s="5" t="s">
        <v>1122</v>
      </c>
      <c r="I82" s="5" t="s">
        <v>1123</v>
      </c>
      <c r="J82" s="5">
        <v>25.0</v>
      </c>
      <c r="K82" s="5" t="s">
        <v>1124</v>
      </c>
      <c r="L82" s="5">
        <v>33300.0</v>
      </c>
      <c r="M82" s="5">
        <v>33063.0</v>
      </c>
      <c r="N82" s="5" t="s">
        <v>47</v>
      </c>
      <c r="O82" s="5" t="s">
        <v>48</v>
      </c>
      <c r="P82" s="5" t="s">
        <v>49</v>
      </c>
      <c r="R82" s="5" t="s">
        <v>1125</v>
      </c>
      <c r="S82" s="5" t="s">
        <v>1126</v>
      </c>
      <c r="U82" s="5" t="s">
        <v>52</v>
      </c>
      <c r="V82" s="5">
        <v>5.56014219E8</v>
      </c>
      <c r="X82" s="5" t="s">
        <v>1127</v>
      </c>
      <c r="Z82" s="5" t="s">
        <v>1128</v>
      </c>
      <c r="AA82" s="6" t="s">
        <v>1129</v>
      </c>
      <c r="AB82" s="6" t="s">
        <v>1130</v>
      </c>
      <c r="AC82" s="5" t="s">
        <v>1127</v>
      </c>
      <c r="AE82" s="5" t="s">
        <v>164</v>
      </c>
      <c r="AF82" s="5" t="s">
        <v>58</v>
      </c>
      <c r="AG82" s="5" t="s">
        <v>59</v>
      </c>
      <c r="AH82" s="5" t="s">
        <v>99</v>
      </c>
      <c r="AI82" s="7" t="str">
        <f t="shared" si="1"/>
        <v>Gratuit</v>
      </c>
      <c r="AJ82" s="7" t="str">
        <f t="shared" si="2"/>
        <v>gratuit sans restriction</v>
      </c>
      <c r="AK82" s="7" t="str">
        <f t="shared" si="3"/>
        <v>gratuit sans restriction</v>
      </c>
      <c r="AL82" s="5" t="s">
        <v>131</v>
      </c>
      <c r="AM82" s="5" t="s">
        <v>100</v>
      </c>
      <c r="AN82" s="5" t="s">
        <v>1131</v>
      </c>
      <c r="AP82" s="5" t="s">
        <v>1132</v>
      </c>
    </row>
    <row r="83">
      <c r="A83" s="4" t="s">
        <v>1133</v>
      </c>
      <c r="B83" s="5" t="s">
        <v>1134</v>
      </c>
      <c r="C83" s="5" t="s">
        <v>137</v>
      </c>
      <c r="D83" s="5" t="s">
        <v>138</v>
      </c>
      <c r="E83" s="5" t="s">
        <v>87</v>
      </c>
      <c r="F83" s="5" t="s">
        <v>139</v>
      </c>
      <c r="G83" s="5">
        <v>2.13E13</v>
      </c>
      <c r="H83" s="5" t="s">
        <v>1135</v>
      </c>
      <c r="I83" s="5" t="s">
        <v>1136</v>
      </c>
      <c r="K83" s="5" t="s">
        <v>1136</v>
      </c>
      <c r="L83" s="5">
        <v>33300.0</v>
      </c>
      <c r="M83" s="5">
        <v>33063.0</v>
      </c>
      <c r="N83" s="5" t="s">
        <v>47</v>
      </c>
      <c r="O83" s="5" t="s">
        <v>48</v>
      </c>
      <c r="P83" s="5" t="s">
        <v>49</v>
      </c>
      <c r="R83" s="5" t="s">
        <v>1137</v>
      </c>
      <c r="S83" s="5" t="s">
        <v>1138</v>
      </c>
      <c r="U83" s="5" t="s">
        <v>52</v>
      </c>
      <c r="V83" s="5">
        <v>5.56509795E8</v>
      </c>
      <c r="X83" s="5" t="s">
        <v>233</v>
      </c>
      <c r="Z83" s="5" t="s">
        <v>146</v>
      </c>
      <c r="AA83" s="6" t="s">
        <v>147</v>
      </c>
      <c r="AB83" s="6" t="s">
        <v>148</v>
      </c>
      <c r="AC83" s="5" t="s">
        <v>233</v>
      </c>
      <c r="AD83" s="5" t="s">
        <v>234</v>
      </c>
      <c r="AE83" s="5" t="s">
        <v>57</v>
      </c>
      <c r="AF83" s="5" t="s">
        <v>58</v>
      </c>
      <c r="AG83" s="5" t="s">
        <v>79</v>
      </c>
      <c r="AH83" s="5" t="s">
        <v>60</v>
      </c>
      <c r="AI83" s="7" t="str">
        <f t="shared" si="1"/>
        <v>Gratuit,</v>
      </c>
      <c r="AJ83" s="7" t="str">
        <f t="shared" si="2"/>
        <v>avec conditions</v>
      </c>
      <c r="AK83" s="7" t="str">
        <f t="shared" si="3"/>
        <v>avec conditions</v>
      </c>
      <c r="AL83" s="5" t="s">
        <v>131</v>
      </c>
      <c r="AM83" s="5" t="s">
        <v>100</v>
      </c>
      <c r="AN83" s="5" t="s">
        <v>235</v>
      </c>
      <c r="AP83" s="5" t="s">
        <v>1139</v>
      </c>
    </row>
    <row r="84">
      <c r="A84" s="4" t="s">
        <v>1140</v>
      </c>
      <c r="B84" s="5" t="s">
        <v>1141</v>
      </c>
      <c r="C84" s="5" t="s">
        <v>170</v>
      </c>
      <c r="D84" s="5" t="s">
        <v>42</v>
      </c>
      <c r="E84" s="5" t="s">
        <v>43</v>
      </c>
      <c r="G84" s="5">
        <v>4.0E13</v>
      </c>
      <c r="H84" s="5" t="s">
        <v>1142</v>
      </c>
      <c r="I84" s="5" t="s">
        <v>1143</v>
      </c>
      <c r="K84" s="5" t="s">
        <v>1144</v>
      </c>
      <c r="L84" s="5">
        <v>33300.0</v>
      </c>
      <c r="M84" s="5">
        <v>33063.0</v>
      </c>
      <c r="N84" s="5" t="s">
        <v>47</v>
      </c>
      <c r="O84" s="5" t="s">
        <v>48</v>
      </c>
      <c r="P84" s="5" t="s">
        <v>49</v>
      </c>
      <c r="Q84" s="5" t="s">
        <v>1145</v>
      </c>
      <c r="R84" s="5" t="s">
        <v>1146</v>
      </c>
      <c r="S84" s="5" t="s">
        <v>1147</v>
      </c>
      <c r="U84" s="5" t="s">
        <v>52</v>
      </c>
      <c r="V84" s="5">
        <v>5.56010707E8</v>
      </c>
      <c r="X84" s="5" t="s">
        <v>1148</v>
      </c>
      <c r="Z84" s="5" t="s">
        <v>1149</v>
      </c>
      <c r="AA84" s="6" t="s">
        <v>1150</v>
      </c>
      <c r="AB84" s="6" t="s">
        <v>1151</v>
      </c>
      <c r="AC84" s="5" t="s">
        <v>1148</v>
      </c>
      <c r="AD84" s="5" t="s">
        <v>1152</v>
      </c>
      <c r="AE84" s="5" t="s">
        <v>385</v>
      </c>
      <c r="AF84" s="5" t="s">
        <v>58</v>
      </c>
      <c r="AG84" s="5" t="s">
        <v>59</v>
      </c>
      <c r="AH84" s="5" t="s">
        <v>80</v>
      </c>
      <c r="AI84" s="7" t="str">
        <f t="shared" si="1"/>
        <v>Payant</v>
      </c>
      <c r="AJ84" s="7" t="str">
        <f t="shared" si="2"/>
        <v>avec conditions</v>
      </c>
      <c r="AK84" s="7" t="str">
        <f t="shared" si="3"/>
        <v>avec conditions</v>
      </c>
      <c r="AM84" s="5" t="s">
        <v>100</v>
      </c>
      <c r="AN84" s="5" t="s">
        <v>1153</v>
      </c>
      <c r="AP84" s="5" t="s">
        <v>1154</v>
      </c>
    </row>
    <row r="85">
      <c r="A85" s="4" t="s">
        <v>1155</v>
      </c>
      <c r="B85" s="5" t="s">
        <v>318</v>
      </c>
      <c r="C85" s="5" t="s">
        <v>42</v>
      </c>
      <c r="D85" s="5" t="s">
        <v>42</v>
      </c>
      <c r="E85" s="5" t="s">
        <v>43</v>
      </c>
      <c r="H85" s="5" t="s">
        <v>1156</v>
      </c>
      <c r="I85" s="5" t="s">
        <v>1157</v>
      </c>
      <c r="J85" s="5">
        <v>176.0</v>
      </c>
      <c r="K85" s="5" t="s">
        <v>70</v>
      </c>
      <c r="L85" s="5">
        <v>33300.0</v>
      </c>
      <c r="M85" s="5">
        <v>33063.0</v>
      </c>
      <c r="N85" s="5" t="s">
        <v>47</v>
      </c>
      <c r="O85" s="5" t="s">
        <v>48</v>
      </c>
      <c r="P85" s="5" t="s">
        <v>49</v>
      </c>
      <c r="Q85" s="5" t="s">
        <v>1158</v>
      </c>
      <c r="R85" s="5" t="s">
        <v>1159</v>
      </c>
      <c r="S85" s="5" t="s">
        <v>1160</v>
      </c>
      <c r="U85" s="5" t="s">
        <v>52</v>
      </c>
      <c r="V85" s="5">
        <v>5.56430099E8</v>
      </c>
      <c r="X85" s="5" t="s">
        <v>324</v>
      </c>
      <c r="Z85" s="5" t="s">
        <v>1161</v>
      </c>
      <c r="AA85" s="6" t="s">
        <v>326</v>
      </c>
      <c r="AC85" s="5" t="s">
        <v>324</v>
      </c>
      <c r="AD85" s="5" t="s">
        <v>327</v>
      </c>
      <c r="AE85" s="5" t="s">
        <v>1162</v>
      </c>
      <c r="AF85" s="5" t="s">
        <v>58</v>
      </c>
      <c r="AG85" s="5" t="s">
        <v>114</v>
      </c>
      <c r="AH85" s="5" t="s">
        <v>99</v>
      </c>
      <c r="AI85" s="7" t="str">
        <f t="shared" si="1"/>
        <v>Gratuit</v>
      </c>
      <c r="AJ85" s="7" t="str">
        <f t="shared" si="2"/>
        <v>gratuit sans restriction</v>
      </c>
      <c r="AK85" s="7" t="str">
        <f t="shared" si="3"/>
        <v>gratuit sans restriction</v>
      </c>
      <c r="AM85" s="5" t="s">
        <v>61</v>
      </c>
      <c r="AN85" s="5" t="s">
        <v>1163</v>
      </c>
      <c r="AP85" s="5" t="s">
        <v>1164</v>
      </c>
    </row>
    <row r="86">
      <c r="A86" s="4" t="s">
        <v>1165</v>
      </c>
      <c r="B86" s="5" t="s">
        <v>1166</v>
      </c>
      <c r="C86" s="5" t="s">
        <v>1167</v>
      </c>
      <c r="D86" s="5" t="s">
        <v>86</v>
      </c>
      <c r="E86" s="5" t="s">
        <v>1168</v>
      </c>
      <c r="H86" s="5" t="s">
        <v>1169</v>
      </c>
      <c r="I86" s="5" t="s">
        <v>1170</v>
      </c>
      <c r="K86" s="5" t="s">
        <v>1170</v>
      </c>
      <c r="L86" s="5">
        <v>33300.0</v>
      </c>
      <c r="M86" s="5">
        <v>33063.0</v>
      </c>
      <c r="N86" s="5" t="s">
        <v>47</v>
      </c>
      <c r="O86" s="5" t="s">
        <v>48</v>
      </c>
      <c r="P86" s="5" t="s">
        <v>49</v>
      </c>
      <c r="R86" s="5" t="s">
        <v>1171</v>
      </c>
      <c r="S86" s="5" t="s">
        <v>1172</v>
      </c>
      <c r="U86" s="5" t="s">
        <v>52</v>
      </c>
      <c r="V86" s="5">
        <v>3646.0</v>
      </c>
      <c r="X86" s="5" t="s">
        <v>1173</v>
      </c>
      <c r="AA86" s="6" t="s">
        <v>1174</v>
      </c>
      <c r="AC86" s="5" t="s">
        <v>1173</v>
      </c>
      <c r="AD86" s="5" t="s">
        <v>1000</v>
      </c>
      <c r="AE86" s="5" t="s">
        <v>57</v>
      </c>
      <c r="AF86" s="5" t="s">
        <v>58</v>
      </c>
      <c r="AG86" s="5" t="s">
        <v>114</v>
      </c>
      <c r="AH86" s="5" t="s">
        <v>99</v>
      </c>
      <c r="AI86" s="7" t="str">
        <f t="shared" si="1"/>
        <v>Gratuit</v>
      </c>
      <c r="AJ86" s="7" t="str">
        <f t="shared" si="2"/>
        <v>gratuit sans restriction</v>
      </c>
      <c r="AK86" s="7" t="str">
        <f t="shared" si="3"/>
        <v>gratuit sans restriction</v>
      </c>
      <c r="AM86" s="5" t="s">
        <v>100</v>
      </c>
      <c r="AN86" s="5" t="s">
        <v>1175</v>
      </c>
      <c r="AP86" s="5" t="s">
        <v>1176</v>
      </c>
    </row>
    <row r="87">
      <c r="A87" s="4" t="s">
        <v>1177</v>
      </c>
      <c r="B87" s="5" t="s">
        <v>1178</v>
      </c>
      <c r="C87" s="5" t="s">
        <v>42</v>
      </c>
      <c r="D87" s="5" t="s">
        <v>42</v>
      </c>
      <c r="E87" s="5" t="s">
        <v>43</v>
      </c>
      <c r="H87" s="5" t="s">
        <v>1179</v>
      </c>
      <c r="I87" s="5" t="s">
        <v>1170</v>
      </c>
      <c r="K87" s="5" t="s">
        <v>1170</v>
      </c>
      <c r="L87" s="5">
        <v>33300.0</v>
      </c>
      <c r="M87" s="5">
        <v>33063.0</v>
      </c>
      <c r="N87" s="5" t="s">
        <v>47</v>
      </c>
      <c r="O87" s="5" t="s">
        <v>48</v>
      </c>
      <c r="P87" s="5" t="s">
        <v>49</v>
      </c>
      <c r="R87" s="5" t="s">
        <v>1171</v>
      </c>
      <c r="S87" s="5" t="s">
        <v>1172</v>
      </c>
      <c r="U87" s="5" t="s">
        <v>52</v>
      </c>
      <c r="V87" s="5">
        <v>5.56503822E8</v>
      </c>
      <c r="X87" s="5" t="s">
        <v>1180</v>
      </c>
      <c r="Z87" s="5" t="s">
        <v>1181</v>
      </c>
      <c r="AA87" s="6" t="s">
        <v>1182</v>
      </c>
      <c r="AB87" s="6" t="s">
        <v>1183</v>
      </c>
      <c r="AC87" s="5" t="s">
        <v>1180</v>
      </c>
      <c r="AD87" s="5" t="s">
        <v>1184</v>
      </c>
      <c r="AE87" s="5" t="s">
        <v>57</v>
      </c>
      <c r="AF87" s="5" t="s">
        <v>58</v>
      </c>
      <c r="AG87" s="5" t="s">
        <v>79</v>
      </c>
      <c r="AH87" s="5" t="s">
        <v>80</v>
      </c>
      <c r="AI87" s="7" t="str">
        <f t="shared" si="1"/>
        <v>Payant</v>
      </c>
      <c r="AJ87" s="7" t="str">
        <f t="shared" si="2"/>
        <v>avec conditions</v>
      </c>
      <c r="AK87" s="7" t="str">
        <f t="shared" si="3"/>
        <v>avec conditions</v>
      </c>
      <c r="AM87" s="5" t="s">
        <v>61</v>
      </c>
      <c r="AN87" s="5" t="s">
        <v>1185</v>
      </c>
      <c r="AP87" s="5" t="s">
        <v>1176</v>
      </c>
    </row>
    <row r="88">
      <c r="A88" s="4" t="s">
        <v>1186</v>
      </c>
      <c r="B88" s="5" t="s">
        <v>1187</v>
      </c>
      <c r="C88" s="5" t="s">
        <v>42</v>
      </c>
      <c r="D88" s="5" t="s">
        <v>42</v>
      </c>
      <c r="E88" s="5" t="s">
        <v>43</v>
      </c>
      <c r="H88" s="5" t="s">
        <v>1188</v>
      </c>
      <c r="I88" s="5" t="s">
        <v>1189</v>
      </c>
      <c r="J88" s="5">
        <v>127.0</v>
      </c>
      <c r="K88" s="5" t="s">
        <v>1190</v>
      </c>
      <c r="L88" s="5">
        <v>33300.0</v>
      </c>
      <c r="M88" s="5">
        <v>33063.0</v>
      </c>
      <c r="N88" s="5" t="s">
        <v>47</v>
      </c>
      <c r="O88" s="5" t="s">
        <v>48</v>
      </c>
      <c r="P88" s="5" t="s">
        <v>49</v>
      </c>
      <c r="R88" s="5" t="s">
        <v>1191</v>
      </c>
      <c r="S88" s="5" t="s">
        <v>1192</v>
      </c>
      <c r="U88" s="5" t="s">
        <v>52</v>
      </c>
      <c r="V88" s="5">
        <v>5.57783737E8</v>
      </c>
      <c r="X88" s="5" t="s">
        <v>1193</v>
      </c>
      <c r="Z88" s="5" t="s">
        <v>1194</v>
      </c>
      <c r="AA88" s="6" t="s">
        <v>1195</v>
      </c>
      <c r="AC88" s="5" t="s">
        <v>1193</v>
      </c>
      <c r="AD88" s="5" t="s">
        <v>1196</v>
      </c>
      <c r="AE88" s="5" t="s">
        <v>385</v>
      </c>
      <c r="AF88" s="5" t="s">
        <v>58</v>
      </c>
      <c r="AG88" s="5" t="s">
        <v>114</v>
      </c>
      <c r="AH88" s="5" t="s">
        <v>99</v>
      </c>
      <c r="AI88" s="7" t="str">
        <f t="shared" si="1"/>
        <v>Gratuit</v>
      </c>
      <c r="AJ88" s="7" t="str">
        <f t="shared" si="2"/>
        <v>gratuit sans restriction</v>
      </c>
      <c r="AK88" s="7" t="str">
        <f t="shared" si="3"/>
        <v>gratuit sans restriction</v>
      </c>
      <c r="AM88" s="5" t="s">
        <v>61</v>
      </c>
      <c r="AN88" s="5" t="s">
        <v>1197</v>
      </c>
      <c r="AP88" s="5" t="s">
        <v>1198</v>
      </c>
    </row>
    <row r="89">
      <c r="A89" s="4" t="s">
        <v>1199</v>
      </c>
      <c r="B89" s="5" t="s">
        <v>1200</v>
      </c>
      <c r="C89" s="5" t="s">
        <v>42</v>
      </c>
      <c r="D89" s="5" t="s">
        <v>42</v>
      </c>
      <c r="E89" s="5" t="s">
        <v>43</v>
      </c>
      <c r="H89" s="5" t="s">
        <v>1201</v>
      </c>
      <c r="I89" s="5" t="s">
        <v>1202</v>
      </c>
      <c r="J89" s="5">
        <v>7.0</v>
      </c>
      <c r="K89" s="5" t="s">
        <v>612</v>
      </c>
      <c r="L89" s="5">
        <v>33000.0</v>
      </c>
      <c r="M89" s="5">
        <v>33063.0</v>
      </c>
      <c r="N89" s="5" t="s">
        <v>47</v>
      </c>
      <c r="O89" s="5" t="s">
        <v>48</v>
      </c>
      <c r="P89" s="5" t="s">
        <v>49</v>
      </c>
      <c r="Q89" s="5" t="s">
        <v>1203</v>
      </c>
      <c r="R89" s="5" t="s">
        <v>1204</v>
      </c>
      <c r="S89" s="5" t="s">
        <v>1205</v>
      </c>
      <c r="U89" s="5" t="s">
        <v>52</v>
      </c>
      <c r="V89" s="5">
        <v>5.56482612E8</v>
      </c>
      <c r="X89" s="5" t="s">
        <v>1206</v>
      </c>
      <c r="Z89" s="5" t="s">
        <v>1207</v>
      </c>
      <c r="AA89" s="6" t="s">
        <v>1208</v>
      </c>
      <c r="AC89" s="5" t="s">
        <v>1206</v>
      </c>
      <c r="AD89" s="5" t="s">
        <v>1209</v>
      </c>
      <c r="AE89" s="5" t="s">
        <v>57</v>
      </c>
      <c r="AF89" s="5" t="s">
        <v>58</v>
      </c>
      <c r="AG89" s="5" t="s">
        <v>79</v>
      </c>
      <c r="AH89" s="5" t="s">
        <v>99</v>
      </c>
      <c r="AI89" s="7" t="str">
        <f t="shared" si="1"/>
        <v>Gratuit</v>
      </c>
      <c r="AJ89" s="7" t="str">
        <f t="shared" si="2"/>
        <v>gratuit sans restriction</v>
      </c>
      <c r="AK89" s="7" t="str">
        <f t="shared" si="3"/>
        <v>gratuit sans restriction</v>
      </c>
      <c r="AM89" s="5" t="s">
        <v>61</v>
      </c>
      <c r="AN89" s="5" t="s">
        <v>1210</v>
      </c>
      <c r="AP89" s="5" t="s">
        <v>1211</v>
      </c>
    </row>
    <row r="90">
      <c r="A90" s="4" t="s">
        <v>1212</v>
      </c>
      <c r="B90" s="5" t="s">
        <v>1213</v>
      </c>
      <c r="C90" s="5" t="s">
        <v>42</v>
      </c>
      <c r="D90" s="5" t="s">
        <v>42</v>
      </c>
      <c r="E90" s="5" t="s">
        <v>43</v>
      </c>
      <c r="G90" s="5">
        <v>7.82E13</v>
      </c>
      <c r="H90" s="5" t="s">
        <v>1214</v>
      </c>
      <c r="I90" s="5" t="s">
        <v>1215</v>
      </c>
      <c r="J90" s="5">
        <v>4.0</v>
      </c>
      <c r="K90" s="5" t="s">
        <v>1216</v>
      </c>
      <c r="L90" s="5">
        <v>33000.0</v>
      </c>
      <c r="M90" s="5">
        <v>33063.0</v>
      </c>
      <c r="N90" s="5" t="s">
        <v>47</v>
      </c>
      <c r="O90" s="5" t="s">
        <v>48</v>
      </c>
      <c r="P90" s="5" t="s">
        <v>49</v>
      </c>
      <c r="R90" s="5" t="s">
        <v>1217</v>
      </c>
      <c r="S90" s="5" t="s">
        <v>1218</v>
      </c>
      <c r="U90" s="5" t="s">
        <v>52</v>
      </c>
      <c r="V90" s="5">
        <v>5.56481639E8</v>
      </c>
      <c r="X90" s="5" t="s">
        <v>1219</v>
      </c>
      <c r="Z90" s="5" t="s">
        <v>1220</v>
      </c>
      <c r="AA90" s="6" t="s">
        <v>1221</v>
      </c>
      <c r="AB90" s="6" t="s">
        <v>525</v>
      </c>
      <c r="AC90" s="5" t="s">
        <v>1219</v>
      </c>
      <c r="AD90" s="5" t="s">
        <v>1222</v>
      </c>
      <c r="AE90" s="5" t="s">
        <v>57</v>
      </c>
      <c r="AF90" s="5" t="s">
        <v>58</v>
      </c>
      <c r="AG90" s="5" t="s">
        <v>114</v>
      </c>
      <c r="AH90" s="5" t="s">
        <v>314</v>
      </c>
      <c r="AI90" s="7" t="str">
        <f t="shared" si="1"/>
        <v>Gratuit,</v>
      </c>
      <c r="AJ90" s="7" t="str">
        <f t="shared" si="2"/>
        <v>avec conditions</v>
      </c>
      <c r="AK90" s="7" t="str">
        <f t="shared" si="3"/>
        <v>avec conditions</v>
      </c>
      <c r="AL90" s="5" t="s">
        <v>131</v>
      </c>
      <c r="AM90" s="5" t="s">
        <v>100</v>
      </c>
      <c r="AN90" s="5" t="s">
        <v>1223</v>
      </c>
      <c r="AO90" s="5" t="s">
        <v>133</v>
      </c>
      <c r="AP90" s="5" t="s">
        <v>1224</v>
      </c>
    </row>
    <row r="91">
      <c r="A91" s="4" t="s">
        <v>1225</v>
      </c>
      <c r="B91" s="5" t="s">
        <v>1226</v>
      </c>
      <c r="C91" s="5" t="s">
        <v>42</v>
      </c>
      <c r="D91" s="5" t="s">
        <v>42</v>
      </c>
      <c r="E91" s="5" t="s">
        <v>43</v>
      </c>
      <c r="H91" s="5" t="s">
        <v>1227</v>
      </c>
      <c r="I91" s="5" t="s">
        <v>1228</v>
      </c>
      <c r="J91" s="5">
        <v>5.0</v>
      </c>
      <c r="K91" s="5" t="s">
        <v>1229</v>
      </c>
      <c r="L91" s="5">
        <v>33800.0</v>
      </c>
      <c r="M91" s="5">
        <v>33063.0</v>
      </c>
      <c r="N91" s="5" t="s">
        <v>47</v>
      </c>
      <c r="O91" s="5" t="s">
        <v>48</v>
      </c>
      <c r="P91" s="5" t="s">
        <v>49</v>
      </c>
      <c r="R91" s="5" t="s">
        <v>1230</v>
      </c>
      <c r="S91" s="5" t="s">
        <v>1231</v>
      </c>
      <c r="U91" s="5" t="s">
        <v>52</v>
      </c>
      <c r="V91" s="5">
        <v>6.08178847E8</v>
      </c>
      <c r="X91" s="5" t="s">
        <v>1232</v>
      </c>
      <c r="Z91" s="5" t="s">
        <v>95</v>
      </c>
      <c r="AA91" s="6" t="s">
        <v>1233</v>
      </c>
      <c r="AB91" s="6" t="s">
        <v>1234</v>
      </c>
      <c r="AC91" s="5" t="s">
        <v>1232</v>
      </c>
      <c r="AD91" s="5" t="s">
        <v>1235</v>
      </c>
      <c r="AE91" s="5" t="s">
        <v>313</v>
      </c>
      <c r="AF91" s="5" t="s">
        <v>58</v>
      </c>
      <c r="AG91" s="5" t="s">
        <v>79</v>
      </c>
      <c r="AH91" s="5" t="s">
        <v>60</v>
      </c>
      <c r="AI91" s="7" t="str">
        <f t="shared" si="1"/>
        <v>Gratuit,</v>
      </c>
      <c r="AJ91" s="7" t="str">
        <f t="shared" si="2"/>
        <v>avec conditions</v>
      </c>
      <c r="AK91" s="7" t="str">
        <f t="shared" si="3"/>
        <v>avec conditions</v>
      </c>
      <c r="AM91" s="5" t="s">
        <v>61</v>
      </c>
      <c r="AN91" s="5" t="s">
        <v>1236</v>
      </c>
      <c r="AP91" s="5" t="s">
        <v>1237</v>
      </c>
    </row>
    <row r="92">
      <c r="A92" s="4" t="s">
        <v>1238</v>
      </c>
      <c r="B92" s="5" t="s">
        <v>1239</v>
      </c>
      <c r="C92" s="5" t="s">
        <v>137</v>
      </c>
      <c r="D92" s="5" t="s">
        <v>138</v>
      </c>
      <c r="E92" s="5" t="s">
        <v>87</v>
      </c>
      <c r="F92" s="5" t="s">
        <v>139</v>
      </c>
      <c r="G92" s="5">
        <v>2.13E13</v>
      </c>
      <c r="H92" s="5" t="s">
        <v>1240</v>
      </c>
      <c r="I92" s="5" t="s">
        <v>1241</v>
      </c>
      <c r="K92" s="5" t="s">
        <v>1242</v>
      </c>
      <c r="L92" s="5">
        <v>33000.0</v>
      </c>
      <c r="M92" s="5">
        <v>33063.0</v>
      </c>
      <c r="N92" s="5" t="s">
        <v>47</v>
      </c>
      <c r="O92" s="5" t="s">
        <v>48</v>
      </c>
      <c r="P92" s="5" t="s">
        <v>49</v>
      </c>
      <c r="R92" s="5" t="s">
        <v>1243</v>
      </c>
      <c r="S92" s="5" t="s">
        <v>1244</v>
      </c>
      <c r="U92" s="5" t="s">
        <v>52</v>
      </c>
      <c r="V92" s="5">
        <v>5.2499603E8</v>
      </c>
      <c r="X92" s="5" t="s">
        <v>233</v>
      </c>
      <c r="Z92" s="5" t="s">
        <v>146</v>
      </c>
      <c r="AA92" s="6" t="s">
        <v>147</v>
      </c>
      <c r="AB92" s="6" t="s">
        <v>148</v>
      </c>
      <c r="AC92" s="5" t="s">
        <v>233</v>
      </c>
      <c r="AD92" s="5" t="s">
        <v>234</v>
      </c>
      <c r="AE92" s="5" t="s">
        <v>57</v>
      </c>
      <c r="AF92" s="5" t="s">
        <v>58</v>
      </c>
      <c r="AG92" s="5" t="s">
        <v>79</v>
      </c>
      <c r="AH92" s="5" t="s">
        <v>60</v>
      </c>
      <c r="AI92" s="7" t="str">
        <f t="shared" si="1"/>
        <v>Gratuit,</v>
      </c>
      <c r="AJ92" s="7" t="str">
        <f t="shared" si="2"/>
        <v>avec conditions</v>
      </c>
      <c r="AK92" s="7" t="str">
        <f t="shared" si="3"/>
        <v>avec conditions</v>
      </c>
      <c r="AM92" s="5" t="s">
        <v>61</v>
      </c>
      <c r="AN92" s="5" t="s">
        <v>1245</v>
      </c>
      <c r="AP92" s="5" t="s">
        <v>1246</v>
      </c>
    </row>
    <row r="93">
      <c r="A93" s="4" t="s">
        <v>1247</v>
      </c>
      <c r="B93" s="5" t="s">
        <v>1248</v>
      </c>
      <c r="C93" s="5" t="s">
        <v>42</v>
      </c>
      <c r="D93" s="5" t="s">
        <v>42</v>
      </c>
      <c r="E93" s="5" t="s">
        <v>43</v>
      </c>
      <c r="H93" s="5" t="s">
        <v>1249</v>
      </c>
      <c r="I93" s="5" t="s">
        <v>1250</v>
      </c>
      <c r="J93" s="5">
        <v>12.0</v>
      </c>
      <c r="K93" s="5" t="s">
        <v>1251</v>
      </c>
      <c r="L93" s="5">
        <v>33000.0</v>
      </c>
      <c r="M93" s="5">
        <v>33063.0</v>
      </c>
      <c r="N93" s="5" t="s">
        <v>47</v>
      </c>
      <c r="O93" s="5" t="s">
        <v>48</v>
      </c>
      <c r="P93" s="5" t="s">
        <v>49</v>
      </c>
      <c r="R93" s="5" t="s">
        <v>1252</v>
      </c>
      <c r="S93" s="5" t="s">
        <v>1253</v>
      </c>
      <c r="U93" s="5" t="s">
        <v>52</v>
      </c>
      <c r="V93" s="5">
        <v>5.56338585E8</v>
      </c>
      <c r="X93" s="5" t="s">
        <v>1254</v>
      </c>
      <c r="Z93" s="5" t="s">
        <v>1255</v>
      </c>
      <c r="AA93" s="6" t="s">
        <v>1256</v>
      </c>
      <c r="AB93" s="6" t="s">
        <v>1257</v>
      </c>
      <c r="AC93" s="5" t="s">
        <v>1254</v>
      </c>
      <c r="AD93" s="5" t="s">
        <v>1258</v>
      </c>
      <c r="AF93" s="5" t="s">
        <v>58</v>
      </c>
      <c r="AG93" s="5" t="s">
        <v>79</v>
      </c>
      <c r="AH93" s="5" t="s">
        <v>60</v>
      </c>
      <c r="AI93" s="7" t="str">
        <f t="shared" si="1"/>
        <v>Gratuit,</v>
      </c>
      <c r="AJ93" s="7" t="str">
        <f t="shared" si="2"/>
        <v>avec conditions</v>
      </c>
      <c r="AK93" s="7" t="str">
        <f t="shared" si="3"/>
        <v>avec conditions</v>
      </c>
      <c r="AM93" s="5" t="s">
        <v>100</v>
      </c>
      <c r="AN93" s="5" t="s">
        <v>1259</v>
      </c>
      <c r="AP93" s="5" t="s">
        <v>1260</v>
      </c>
    </row>
    <row r="94">
      <c r="A94" s="4" t="s">
        <v>1261</v>
      </c>
      <c r="B94" s="5" t="s">
        <v>1262</v>
      </c>
      <c r="C94" s="5" t="s">
        <v>1167</v>
      </c>
      <c r="D94" s="5" t="s">
        <v>86</v>
      </c>
      <c r="E94" s="5" t="s">
        <v>1168</v>
      </c>
      <c r="H94" s="5" t="s">
        <v>1169</v>
      </c>
      <c r="I94" s="5" t="s">
        <v>1263</v>
      </c>
      <c r="J94" s="5">
        <v>232.0</v>
      </c>
      <c r="K94" s="5" t="s">
        <v>1264</v>
      </c>
      <c r="L94" s="5">
        <v>33079.0</v>
      </c>
      <c r="M94" s="5">
        <v>33063.0</v>
      </c>
      <c r="N94" s="5" t="s">
        <v>47</v>
      </c>
      <c r="O94" s="5" t="s">
        <v>48</v>
      </c>
      <c r="P94" s="5" t="s">
        <v>49</v>
      </c>
      <c r="R94" s="5" t="s">
        <v>1265</v>
      </c>
      <c r="S94" s="5" t="s">
        <v>1266</v>
      </c>
      <c r="U94" s="5" t="s">
        <v>52</v>
      </c>
      <c r="V94" s="5">
        <v>3646.0</v>
      </c>
      <c r="X94" s="5" t="s">
        <v>1267</v>
      </c>
      <c r="AA94" s="6" t="s">
        <v>1174</v>
      </c>
      <c r="AC94" s="5" t="s">
        <v>1267</v>
      </c>
      <c r="AD94" s="5" t="s">
        <v>1000</v>
      </c>
      <c r="AE94" s="5" t="s">
        <v>57</v>
      </c>
      <c r="AF94" s="5" t="s">
        <v>58</v>
      </c>
      <c r="AG94" s="5" t="s">
        <v>114</v>
      </c>
      <c r="AH94" s="5" t="s">
        <v>99</v>
      </c>
      <c r="AI94" s="7" t="str">
        <f t="shared" si="1"/>
        <v>Gratuit</v>
      </c>
      <c r="AJ94" s="7" t="str">
        <f t="shared" si="2"/>
        <v>gratuit sans restriction</v>
      </c>
      <c r="AK94" s="7" t="str">
        <f t="shared" si="3"/>
        <v>gratuit sans restriction</v>
      </c>
      <c r="AM94" s="5" t="s">
        <v>100</v>
      </c>
      <c r="AN94" s="5" t="s">
        <v>1175</v>
      </c>
      <c r="AP94" s="5" t="s">
        <v>1268</v>
      </c>
    </row>
    <row r="95">
      <c r="A95" s="4" t="s">
        <v>1269</v>
      </c>
      <c r="B95" s="5" t="s">
        <v>1270</v>
      </c>
      <c r="C95" s="5" t="s">
        <v>42</v>
      </c>
      <c r="D95" s="5" t="s">
        <v>42</v>
      </c>
      <c r="E95" s="5" t="s">
        <v>43</v>
      </c>
      <c r="H95" s="5" t="s">
        <v>1271</v>
      </c>
      <c r="I95" s="5" t="s">
        <v>1272</v>
      </c>
      <c r="J95" s="5">
        <v>45.0</v>
      </c>
      <c r="K95" s="5" t="s">
        <v>1273</v>
      </c>
      <c r="L95" s="5">
        <v>33800.0</v>
      </c>
      <c r="M95" s="5">
        <v>33063.0</v>
      </c>
      <c r="N95" s="5" t="s">
        <v>47</v>
      </c>
      <c r="O95" s="5" t="s">
        <v>48</v>
      </c>
      <c r="P95" s="5" t="s">
        <v>49</v>
      </c>
      <c r="R95" s="5" t="s">
        <v>1274</v>
      </c>
      <c r="S95" s="5" t="s">
        <v>1275</v>
      </c>
      <c r="U95" s="5" t="s">
        <v>52</v>
      </c>
      <c r="V95" s="5">
        <v>6.48530778E8</v>
      </c>
      <c r="X95" s="5" t="s">
        <v>1276</v>
      </c>
      <c r="Z95" s="5" t="s">
        <v>1277</v>
      </c>
      <c r="AA95" s="6" t="s">
        <v>1278</v>
      </c>
      <c r="AB95" s="6" t="s">
        <v>1279</v>
      </c>
      <c r="AC95" s="5" t="s">
        <v>1276</v>
      </c>
      <c r="AE95" s="5" t="s">
        <v>78</v>
      </c>
      <c r="AF95" s="5" t="s">
        <v>58</v>
      </c>
      <c r="AG95" s="5" t="s">
        <v>114</v>
      </c>
      <c r="AH95" s="5" t="s">
        <v>99</v>
      </c>
      <c r="AI95" s="7" t="str">
        <f t="shared" si="1"/>
        <v>Gratuit</v>
      </c>
      <c r="AJ95" s="7" t="str">
        <f t="shared" si="2"/>
        <v>gratuit sans restriction</v>
      </c>
      <c r="AK95" s="7" t="str">
        <f t="shared" si="3"/>
        <v>gratuit sans restriction</v>
      </c>
      <c r="AM95" s="5" t="s">
        <v>61</v>
      </c>
      <c r="AN95" s="5" t="s">
        <v>1280</v>
      </c>
      <c r="AP95" s="5" t="s">
        <v>1281</v>
      </c>
    </row>
    <row r="96">
      <c r="A96" s="4" t="s">
        <v>1282</v>
      </c>
      <c r="B96" s="5" t="s">
        <v>1283</v>
      </c>
      <c r="C96" s="5" t="s">
        <v>42</v>
      </c>
      <c r="D96" s="5" t="s">
        <v>42</v>
      </c>
      <c r="E96" s="5" t="s">
        <v>43</v>
      </c>
      <c r="H96" s="5" t="s">
        <v>1284</v>
      </c>
      <c r="I96" s="5" t="s">
        <v>1285</v>
      </c>
      <c r="J96" s="5" t="s">
        <v>1286</v>
      </c>
      <c r="K96" s="5" t="s">
        <v>1287</v>
      </c>
      <c r="L96" s="5">
        <v>33800.0</v>
      </c>
      <c r="M96" s="5">
        <v>33063.0</v>
      </c>
      <c r="N96" s="5" t="s">
        <v>47</v>
      </c>
      <c r="O96" s="5" t="s">
        <v>48</v>
      </c>
      <c r="P96" s="5" t="s">
        <v>49</v>
      </c>
      <c r="R96" s="5" t="s">
        <v>1288</v>
      </c>
      <c r="S96" s="5" t="s">
        <v>1289</v>
      </c>
      <c r="U96" s="5" t="s">
        <v>52</v>
      </c>
      <c r="V96" s="5">
        <v>5.57717593E8</v>
      </c>
      <c r="X96" s="5" t="s">
        <v>1290</v>
      </c>
      <c r="Z96" s="5" t="s">
        <v>1291</v>
      </c>
      <c r="AA96" s="6" t="s">
        <v>1292</v>
      </c>
      <c r="AC96" s="5" t="s">
        <v>1290</v>
      </c>
      <c r="AD96" s="5" t="s">
        <v>1293</v>
      </c>
      <c r="AE96" s="5" t="s">
        <v>269</v>
      </c>
      <c r="AF96" s="5" t="s">
        <v>58</v>
      </c>
      <c r="AG96" s="5" t="s">
        <v>79</v>
      </c>
      <c r="AH96" s="5" t="s">
        <v>99</v>
      </c>
      <c r="AI96" s="7" t="str">
        <f t="shared" si="1"/>
        <v>Gratuit</v>
      </c>
      <c r="AJ96" s="7" t="str">
        <f t="shared" si="2"/>
        <v>gratuit sans restriction</v>
      </c>
      <c r="AK96" s="7" t="str">
        <f t="shared" si="3"/>
        <v>gratuit sans restriction</v>
      </c>
      <c r="AM96" s="5" t="s">
        <v>61</v>
      </c>
      <c r="AN96" s="5" t="s">
        <v>1294</v>
      </c>
      <c r="AP96" s="5" t="s">
        <v>1295</v>
      </c>
    </row>
    <row r="97">
      <c r="A97" s="4" t="s">
        <v>1296</v>
      </c>
      <c r="B97" s="5" t="s">
        <v>1297</v>
      </c>
      <c r="C97" s="5" t="s">
        <v>1298</v>
      </c>
      <c r="D97" s="5" t="s">
        <v>42</v>
      </c>
      <c r="E97" s="5" t="s">
        <v>43</v>
      </c>
      <c r="H97" s="5" t="s">
        <v>1299</v>
      </c>
      <c r="I97" s="5" t="s">
        <v>1300</v>
      </c>
      <c r="J97" s="5" t="s">
        <v>1301</v>
      </c>
      <c r="K97" s="5" t="s">
        <v>1302</v>
      </c>
      <c r="L97" s="5">
        <v>33800.0</v>
      </c>
      <c r="M97" s="5">
        <v>33063.0</v>
      </c>
      <c r="N97" s="5" t="s">
        <v>47</v>
      </c>
      <c r="O97" s="5" t="s">
        <v>48</v>
      </c>
      <c r="P97" s="5" t="s">
        <v>49</v>
      </c>
      <c r="R97" s="5" t="s">
        <v>1303</v>
      </c>
      <c r="S97" s="5" t="s">
        <v>1304</v>
      </c>
      <c r="U97" s="5" t="s">
        <v>52</v>
      </c>
      <c r="V97" s="5">
        <v>5.56858545E8</v>
      </c>
      <c r="X97" s="5" t="s">
        <v>1305</v>
      </c>
      <c r="Z97" s="5" t="s">
        <v>1306</v>
      </c>
      <c r="AA97" s="6" t="s">
        <v>1307</v>
      </c>
      <c r="AB97" s="6" t="s">
        <v>1308</v>
      </c>
      <c r="AC97" s="5" t="s">
        <v>1305</v>
      </c>
      <c r="AD97" s="5" t="s">
        <v>1309</v>
      </c>
      <c r="AE97" s="5" t="s">
        <v>57</v>
      </c>
      <c r="AF97" s="5" t="s">
        <v>58</v>
      </c>
      <c r="AG97" s="5" t="s">
        <v>79</v>
      </c>
      <c r="AH97" s="5" t="s">
        <v>99</v>
      </c>
      <c r="AI97" s="7" t="str">
        <f t="shared" si="1"/>
        <v>Gratuit</v>
      </c>
      <c r="AJ97" s="7" t="str">
        <f t="shared" si="2"/>
        <v>gratuit sans restriction</v>
      </c>
      <c r="AK97" s="7" t="str">
        <f t="shared" si="3"/>
        <v>gratuit sans restriction</v>
      </c>
      <c r="AM97" s="5" t="s">
        <v>61</v>
      </c>
      <c r="AN97" s="5" t="s">
        <v>1310</v>
      </c>
      <c r="AP97" s="5" t="s">
        <v>1311</v>
      </c>
    </row>
    <row r="98">
      <c r="A98" s="4" t="s">
        <v>1312</v>
      </c>
      <c r="B98" s="5" t="s">
        <v>1313</v>
      </c>
      <c r="C98" s="5" t="s">
        <v>1314</v>
      </c>
      <c r="D98" s="5" t="s">
        <v>138</v>
      </c>
      <c r="E98" s="5" t="s">
        <v>87</v>
      </c>
      <c r="F98" s="5" t="s">
        <v>1315</v>
      </c>
      <c r="H98" s="5" t="s">
        <v>1316</v>
      </c>
      <c r="I98" s="5" t="s">
        <v>1317</v>
      </c>
      <c r="J98" s="5">
        <v>13.0</v>
      </c>
      <c r="K98" s="5" t="s">
        <v>1318</v>
      </c>
      <c r="L98" s="5">
        <v>33800.0</v>
      </c>
      <c r="M98" s="5">
        <v>33063.0</v>
      </c>
      <c r="N98" s="5" t="s">
        <v>47</v>
      </c>
      <c r="O98" s="5" t="s">
        <v>48</v>
      </c>
      <c r="P98" s="5" t="s">
        <v>49</v>
      </c>
      <c r="R98" s="5" t="s">
        <v>1319</v>
      </c>
      <c r="S98" s="5" t="s">
        <v>1320</v>
      </c>
      <c r="U98" s="5" t="s">
        <v>52</v>
      </c>
      <c r="V98" s="5">
        <v>5.56102613E8</v>
      </c>
      <c r="X98" s="5" t="s">
        <v>1321</v>
      </c>
      <c r="Z98" s="5" t="s">
        <v>1322</v>
      </c>
      <c r="AA98" s="6" t="s">
        <v>1323</v>
      </c>
      <c r="AC98" s="5" t="s">
        <v>1321</v>
      </c>
      <c r="AD98" s="5" t="s">
        <v>1324</v>
      </c>
      <c r="AE98" s="5" t="s">
        <v>57</v>
      </c>
      <c r="AF98" s="5" t="s">
        <v>58</v>
      </c>
      <c r="AG98" s="5" t="s">
        <v>114</v>
      </c>
      <c r="AH98" s="5" t="s">
        <v>60</v>
      </c>
      <c r="AI98" s="7" t="str">
        <f t="shared" si="1"/>
        <v>Gratuit,</v>
      </c>
      <c r="AJ98" s="7" t="str">
        <f t="shared" si="2"/>
        <v>avec conditions</v>
      </c>
      <c r="AK98" s="7" t="str">
        <f t="shared" si="3"/>
        <v>avec conditions</v>
      </c>
      <c r="AM98" s="5" t="s">
        <v>61</v>
      </c>
      <c r="AN98" s="5" t="s">
        <v>1325</v>
      </c>
      <c r="AP98" s="5" t="s">
        <v>1326</v>
      </c>
    </row>
    <row r="99">
      <c r="A99" s="4" t="s">
        <v>1327</v>
      </c>
      <c r="B99" s="5" t="s">
        <v>1328</v>
      </c>
      <c r="C99" s="5" t="s">
        <v>137</v>
      </c>
      <c r="D99" s="5" t="s">
        <v>138</v>
      </c>
      <c r="E99" s="5" t="s">
        <v>87</v>
      </c>
      <c r="F99" s="5" t="s">
        <v>139</v>
      </c>
      <c r="G99" s="5">
        <v>2.13E13</v>
      </c>
      <c r="H99" s="5" t="s">
        <v>1329</v>
      </c>
      <c r="I99" s="5" t="s">
        <v>1330</v>
      </c>
      <c r="J99" s="5">
        <v>18.0</v>
      </c>
      <c r="K99" s="5" t="s">
        <v>1331</v>
      </c>
      <c r="L99" s="5">
        <v>33100.0</v>
      </c>
      <c r="M99" s="5">
        <v>33063.0</v>
      </c>
      <c r="N99" s="5" t="s">
        <v>47</v>
      </c>
      <c r="O99" s="5" t="s">
        <v>48</v>
      </c>
      <c r="P99" s="5" t="s">
        <v>49</v>
      </c>
      <c r="R99" s="5" t="s">
        <v>1332</v>
      </c>
      <c r="S99" s="5" t="s">
        <v>1333</v>
      </c>
      <c r="U99" s="5" t="s">
        <v>52</v>
      </c>
      <c r="V99" s="5">
        <v>5.56861528E8</v>
      </c>
      <c r="X99" s="5" t="s">
        <v>233</v>
      </c>
      <c r="Z99" s="5" t="s">
        <v>146</v>
      </c>
      <c r="AA99" s="6" t="s">
        <v>147</v>
      </c>
      <c r="AB99" s="6" t="s">
        <v>148</v>
      </c>
      <c r="AC99" s="5" t="s">
        <v>233</v>
      </c>
      <c r="AD99" s="5" t="s">
        <v>234</v>
      </c>
      <c r="AE99" s="5" t="s">
        <v>57</v>
      </c>
      <c r="AF99" s="5" t="s">
        <v>58</v>
      </c>
      <c r="AG99" s="5" t="s">
        <v>79</v>
      </c>
      <c r="AH99" s="5" t="s">
        <v>60</v>
      </c>
      <c r="AI99" s="7" t="str">
        <f t="shared" si="1"/>
        <v>Gratuit,</v>
      </c>
      <c r="AJ99" s="7" t="str">
        <f t="shared" si="2"/>
        <v>avec conditions</v>
      </c>
      <c r="AK99" s="7" t="str">
        <f t="shared" si="3"/>
        <v>avec conditions</v>
      </c>
      <c r="AL99" s="5" t="s">
        <v>131</v>
      </c>
      <c r="AM99" s="5" t="s">
        <v>61</v>
      </c>
      <c r="AN99" s="5" t="s">
        <v>235</v>
      </c>
      <c r="AP99" s="5" t="s">
        <v>1334</v>
      </c>
    </row>
    <row r="100">
      <c r="A100" s="4" t="s">
        <v>1335</v>
      </c>
      <c r="B100" s="5" t="s">
        <v>1336</v>
      </c>
      <c r="C100" s="5" t="s">
        <v>1337</v>
      </c>
      <c r="D100" s="5" t="s">
        <v>42</v>
      </c>
      <c r="E100" s="5" t="s">
        <v>43</v>
      </c>
      <c r="H100" s="5" t="s">
        <v>1338</v>
      </c>
      <c r="I100" s="5" t="s">
        <v>1339</v>
      </c>
      <c r="J100" s="5">
        <v>1.0</v>
      </c>
      <c r="K100" s="5" t="s">
        <v>1340</v>
      </c>
      <c r="L100" s="5">
        <v>33440.0</v>
      </c>
      <c r="M100" s="5">
        <v>33003.0</v>
      </c>
      <c r="N100" s="5" t="s">
        <v>704</v>
      </c>
      <c r="O100" s="5" t="s">
        <v>48</v>
      </c>
      <c r="P100" s="5" t="s">
        <v>49</v>
      </c>
      <c r="R100" s="5" t="s">
        <v>1341</v>
      </c>
      <c r="S100" s="5" t="s">
        <v>1342</v>
      </c>
      <c r="U100" s="5" t="s">
        <v>52</v>
      </c>
      <c r="V100" s="5">
        <v>5.56776264E8</v>
      </c>
      <c r="X100" s="5" t="s">
        <v>1343</v>
      </c>
      <c r="Z100" s="5" t="s">
        <v>1344</v>
      </c>
      <c r="AC100" s="5" t="s">
        <v>1343</v>
      </c>
      <c r="AD100" s="5" t="s">
        <v>1345</v>
      </c>
      <c r="AE100" s="5" t="s">
        <v>57</v>
      </c>
      <c r="AF100" s="5" t="s">
        <v>58</v>
      </c>
      <c r="AG100" s="5" t="s">
        <v>114</v>
      </c>
      <c r="AH100" s="5" t="s">
        <v>99</v>
      </c>
      <c r="AI100" s="7" t="str">
        <f t="shared" si="1"/>
        <v>Gratuit</v>
      </c>
      <c r="AJ100" s="7" t="str">
        <f t="shared" si="2"/>
        <v>gratuit sans restriction</v>
      </c>
      <c r="AK100" s="7" t="str">
        <f t="shared" si="3"/>
        <v>gratuit sans restriction</v>
      </c>
      <c r="AL100" s="5" t="s">
        <v>131</v>
      </c>
      <c r="AM100" s="5" t="s">
        <v>61</v>
      </c>
      <c r="AN100" s="5" t="s">
        <v>1346</v>
      </c>
      <c r="AO100" s="5" t="s">
        <v>1347</v>
      </c>
      <c r="AP100" s="5" t="s">
        <v>1348</v>
      </c>
    </row>
    <row r="101">
      <c r="A101" s="4" t="s">
        <v>1349</v>
      </c>
      <c r="B101" s="5" t="s">
        <v>1350</v>
      </c>
      <c r="C101" s="5" t="s">
        <v>274</v>
      </c>
      <c r="D101" s="5" t="s">
        <v>138</v>
      </c>
      <c r="E101" s="5" t="s">
        <v>87</v>
      </c>
      <c r="F101" s="5" t="s">
        <v>1351</v>
      </c>
      <c r="H101" s="5" t="s">
        <v>1352</v>
      </c>
      <c r="I101" s="5" t="s">
        <v>1353</v>
      </c>
      <c r="K101" s="5" t="s">
        <v>1064</v>
      </c>
      <c r="L101" s="5">
        <v>33440.0</v>
      </c>
      <c r="M101" s="5">
        <v>33003.0</v>
      </c>
      <c r="N101" s="5" t="s">
        <v>704</v>
      </c>
      <c r="O101" s="5" t="s">
        <v>48</v>
      </c>
      <c r="P101" s="5" t="s">
        <v>49</v>
      </c>
      <c r="R101" s="5" t="s">
        <v>1354</v>
      </c>
      <c r="S101" s="5" t="s">
        <v>1355</v>
      </c>
      <c r="U101" s="5" t="s">
        <v>52</v>
      </c>
      <c r="V101" s="5">
        <v>5.56773626E8</v>
      </c>
      <c r="X101" s="5" t="s">
        <v>1356</v>
      </c>
      <c r="Z101" s="5" t="s">
        <v>1357</v>
      </c>
      <c r="AA101" s="6" t="s">
        <v>1358</v>
      </c>
      <c r="AB101" s="6" t="s">
        <v>1359</v>
      </c>
      <c r="AC101" s="5" t="s">
        <v>1356</v>
      </c>
      <c r="AD101" s="5" t="s">
        <v>1360</v>
      </c>
      <c r="AE101" s="5" t="s">
        <v>78</v>
      </c>
      <c r="AF101" s="5" t="s">
        <v>58</v>
      </c>
      <c r="AG101" s="5" t="s">
        <v>79</v>
      </c>
      <c r="AH101" s="5" t="s">
        <v>99</v>
      </c>
      <c r="AI101" s="7" t="str">
        <f t="shared" si="1"/>
        <v>Gratuit</v>
      </c>
      <c r="AJ101" s="7" t="str">
        <f t="shared" si="2"/>
        <v>gratuit sans restriction</v>
      </c>
      <c r="AK101" s="7" t="str">
        <f t="shared" si="3"/>
        <v>gratuit sans restriction</v>
      </c>
      <c r="AL101" s="5" t="s">
        <v>131</v>
      </c>
      <c r="AM101" s="5" t="s">
        <v>61</v>
      </c>
      <c r="AN101" s="5" t="s">
        <v>1361</v>
      </c>
      <c r="AP101" s="5" t="s">
        <v>1362</v>
      </c>
    </row>
    <row r="102">
      <c r="A102" s="4" t="s">
        <v>1363</v>
      </c>
      <c r="B102" s="5" t="s">
        <v>1364</v>
      </c>
      <c r="C102" s="5" t="s">
        <v>137</v>
      </c>
      <c r="D102" s="5" t="s">
        <v>138</v>
      </c>
      <c r="E102" s="5" t="s">
        <v>87</v>
      </c>
      <c r="F102" s="5" t="s">
        <v>1365</v>
      </c>
      <c r="H102" s="5" t="s">
        <v>1366</v>
      </c>
      <c r="I102" s="5" t="s">
        <v>1367</v>
      </c>
      <c r="K102" s="5" t="s">
        <v>289</v>
      </c>
      <c r="L102" s="5">
        <v>33530.0</v>
      </c>
      <c r="M102" s="5">
        <v>33032.0</v>
      </c>
      <c r="N102" s="5" t="s">
        <v>1368</v>
      </c>
      <c r="O102" s="5" t="s">
        <v>48</v>
      </c>
      <c r="P102" s="5" t="s">
        <v>49</v>
      </c>
      <c r="R102" s="5" t="s">
        <v>1369</v>
      </c>
      <c r="S102" s="5" t="s">
        <v>1370</v>
      </c>
      <c r="U102" s="5" t="s">
        <v>52</v>
      </c>
      <c r="V102" s="5">
        <v>5.57808178E8</v>
      </c>
      <c r="X102" s="5" t="s">
        <v>1371</v>
      </c>
      <c r="Z102" s="5" t="s">
        <v>1372</v>
      </c>
      <c r="AA102" s="6" t="s">
        <v>1373</v>
      </c>
      <c r="AC102" s="5" t="s">
        <v>1371</v>
      </c>
      <c r="AD102" s="5" t="s">
        <v>1374</v>
      </c>
      <c r="AE102" s="5" t="s">
        <v>57</v>
      </c>
      <c r="AF102" s="5" t="s">
        <v>58</v>
      </c>
      <c r="AG102" s="5" t="s">
        <v>79</v>
      </c>
      <c r="AH102" s="5" t="s">
        <v>60</v>
      </c>
      <c r="AI102" s="7" t="str">
        <f t="shared" si="1"/>
        <v>Gratuit,</v>
      </c>
      <c r="AJ102" s="7" t="str">
        <f t="shared" si="2"/>
        <v>avec conditions</v>
      </c>
      <c r="AK102" s="7" t="str">
        <f t="shared" si="3"/>
        <v>avec conditions</v>
      </c>
      <c r="AL102" s="5" t="s">
        <v>131</v>
      </c>
      <c r="AM102" s="5" t="s">
        <v>100</v>
      </c>
      <c r="AN102" s="5" t="s">
        <v>1375</v>
      </c>
      <c r="AP102" s="5" t="s">
        <v>1376</v>
      </c>
    </row>
    <row r="103">
      <c r="A103" s="4" t="s">
        <v>1377</v>
      </c>
      <c r="B103" s="5" t="s">
        <v>1378</v>
      </c>
      <c r="C103" s="5" t="s">
        <v>137</v>
      </c>
      <c r="D103" s="5" t="s">
        <v>138</v>
      </c>
      <c r="E103" s="5" t="s">
        <v>87</v>
      </c>
      <c r="F103" s="5" t="s">
        <v>1379</v>
      </c>
      <c r="H103" s="5" t="s">
        <v>1380</v>
      </c>
      <c r="I103" s="5" t="s">
        <v>1381</v>
      </c>
      <c r="J103" s="5">
        <v>17.0</v>
      </c>
      <c r="K103" s="5" t="s">
        <v>1382</v>
      </c>
      <c r="L103" s="5">
        <v>33564.0</v>
      </c>
      <c r="M103" s="5">
        <v>33096.0</v>
      </c>
      <c r="N103" s="5" t="s">
        <v>277</v>
      </c>
      <c r="O103" s="5" t="s">
        <v>48</v>
      </c>
      <c r="P103" s="5" t="s">
        <v>49</v>
      </c>
      <c r="Q103" s="5" t="s">
        <v>1383</v>
      </c>
      <c r="R103" s="5" t="s">
        <v>1384</v>
      </c>
      <c r="S103" s="5" t="s">
        <v>1385</v>
      </c>
      <c r="U103" s="5" t="s">
        <v>52</v>
      </c>
      <c r="V103" s="5">
        <v>5.56776886E8</v>
      </c>
      <c r="X103" s="5" t="s">
        <v>1386</v>
      </c>
      <c r="Z103" s="5" t="s">
        <v>1387</v>
      </c>
      <c r="AA103" s="6" t="s">
        <v>1388</v>
      </c>
      <c r="AC103" s="5" t="s">
        <v>1386</v>
      </c>
      <c r="AD103" s="5" t="s">
        <v>1389</v>
      </c>
      <c r="AE103" s="5" t="s">
        <v>57</v>
      </c>
      <c r="AG103" s="5" t="s">
        <v>114</v>
      </c>
      <c r="AH103" s="5" t="s">
        <v>60</v>
      </c>
      <c r="AI103" s="7" t="str">
        <f t="shared" si="1"/>
        <v>Gratuit,</v>
      </c>
      <c r="AJ103" s="7" t="str">
        <f t="shared" si="2"/>
        <v>avec conditions</v>
      </c>
      <c r="AK103" s="7" t="str">
        <f t="shared" si="3"/>
        <v>avec conditions</v>
      </c>
      <c r="AL103" s="5" t="s">
        <v>131</v>
      </c>
      <c r="AM103" s="5" t="s">
        <v>100</v>
      </c>
      <c r="AN103" s="5" t="s">
        <v>1390</v>
      </c>
      <c r="AP103" s="5" t="s">
        <v>1391</v>
      </c>
    </row>
    <row r="104">
      <c r="A104" s="4" t="s">
        <v>1392</v>
      </c>
      <c r="B104" s="5" t="s">
        <v>1393</v>
      </c>
      <c r="C104" s="5" t="s">
        <v>119</v>
      </c>
      <c r="D104" s="5" t="s">
        <v>42</v>
      </c>
      <c r="E104" s="5" t="s">
        <v>43</v>
      </c>
      <c r="H104" s="5" t="s">
        <v>1394</v>
      </c>
      <c r="I104" s="5" t="s">
        <v>1395</v>
      </c>
      <c r="J104" s="5">
        <v>2.0</v>
      </c>
      <c r="K104" s="5" t="s">
        <v>1396</v>
      </c>
      <c r="L104" s="5">
        <v>33150.0</v>
      </c>
      <c r="M104" s="5">
        <v>33119.0</v>
      </c>
      <c r="N104" s="5" t="s">
        <v>290</v>
      </c>
      <c r="O104" s="5" t="s">
        <v>48</v>
      </c>
      <c r="P104" s="5" t="s">
        <v>49</v>
      </c>
      <c r="R104" s="5" t="s">
        <v>1397</v>
      </c>
      <c r="S104" s="5" t="s">
        <v>1398</v>
      </c>
      <c r="U104" s="5" t="s">
        <v>52</v>
      </c>
      <c r="V104" s="5">
        <v>5.5777903E8</v>
      </c>
      <c r="X104" s="5" t="s">
        <v>324</v>
      </c>
      <c r="Z104" s="5" t="s">
        <v>1399</v>
      </c>
      <c r="AA104" s="6" t="s">
        <v>1400</v>
      </c>
      <c r="AB104" s="6" t="s">
        <v>1401</v>
      </c>
      <c r="AC104" s="5" t="s">
        <v>324</v>
      </c>
      <c r="AD104" s="5" t="s">
        <v>327</v>
      </c>
      <c r="AE104" s="5" t="s">
        <v>57</v>
      </c>
      <c r="AF104" s="5" t="s">
        <v>58</v>
      </c>
      <c r="AG104" s="5" t="s">
        <v>79</v>
      </c>
      <c r="AH104" s="5" t="s">
        <v>314</v>
      </c>
      <c r="AI104" s="7" t="str">
        <f t="shared" si="1"/>
        <v>Gratuit,</v>
      </c>
      <c r="AJ104" s="7" t="str">
        <f t="shared" si="2"/>
        <v>avec conditions</v>
      </c>
      <c r="AK104" s="7" t="str">
        <f t="shared" si="3"/>
        <v>avec conditions</v>
      </c>
      <c r="AL104" s="5" t="s">
        <v>131</v>
      </c>
      <c r="AM104" s="5" t="s">
        <v>61</v>
      </c>
      <c r="AN104" s="5" t="s">
        <v>1402</v>
      </c>
      <c r="AO104" s="5" t="s">
        <v>528</v>
      </c>
      <c r="AP104" s="5" t="s">
        <v>1403</v>
      </c>
    </row>
    <row r="105">
      <c r="A105" s="4" t="s">
        <v>1404</v>
      </c>
      <c r="B105" s="5" t="s">
        <v>1405</v>
      </c>
      <c r="C105" s="5" t="s">
        <v>1298</v>
      </c>
      <c r="D105" s="5" t="s">
        <v>42</v>
      </c>
      <c r="E105" s="5" t="s">
        <v>43</v>
      </c>
      <c r="H105" s="5" t="s">
        <v>1406</v>
      </c>
      <c r="I105" s="5" t="s">
        <v>1407</v>
      </c>
      <c r="J105" s="5">
        <v>89.0</v>
      </c>
      <c r="K105" s="5" t="s">
        <v>1408</v>
      </c>
      <c r="L105" s="5">
        <v>33150.0</v>
      </c>
      <c r="M105" s="5">
        <v>33119.0</v>
      </c>
      <c r="N105" s="5" t="s">
        <v>290</v>
      </c>
      <c r="O105" s="5" t="s">
        <v>48</v>
      </c>
      <c r="P105" s="5" t="s">
        <v>49</v>
      </c>
      <c r="R105" s="5" t="s">
        <v>1409</v>
      </c>
      <c r="S105" s="5" t="s">
        <v>1410</v>
      </c>
      <c r="U105" s="5" t="s">
        <v>52</v>
      </c>
      <c r="V105" s="5">
        <v>5.4774778E8</v>
      </c>
      <c r="X105" s="5" t="s">
        <v>1411</v>
      </c>
      <c r="Z105" s="5" t="s">
        <v>1412</v>
      </c>
      <c r="AA105" s="6" t="s">
        <v>1413</v>
      </c>
      <c r="AB105" s="6" t="s">
        <v>1414</v>
      </c>
      <c r="AC105" s="5" t="s">
        <v>1415</v>
      </c>
      <c r="AD105" s="5" t="s">
        <v>1416</v>
      </c>
      <c r="AE105" s="5" t="s">
        <v>130</v>
      </c>
      <c r="AG105" s="5" t="s">
        <v>79</v>
      </c>
      <c r="AH105" s="5" t="s">
        <v>99</v>
      </c>
      <c r="AI105" s="7" t="str">
        <f t="shared" si="1"/>
        <v>Gratuit</v>
      </c>
      <c r="AJ105" s="7" t="str">
        <f t="shared" si="2"/>
        <v>gratuit sans restriction</v>
      </c>
      <c r="AK105" s="7" t="str">
        <f t="shared" si="3"/>
        <v>gratuit sans restriction</v>
      </c>
      <c r="AM105" s="5" t="s">
        <v>61</v>
      </c>
      <c r="AN105" s="5" t="s">
        <v>1417</v>
      </c>
      <c r="AP105" s="5" t="s">
        <v>1418</v>
      </c>
    </row>
    <row r="106">
      <c r="A106" s="4" t="s">
        <v>1419</v>
      </c>
      <c r="B106" s="5" t="s">
        <v>1420</v>
      </c>
      <c r="C106" s="5" t="s">
        <v>42</v>
      </c>
      <c r="D106" s="5" t="s">
        <v>42</v>
      </c>
      <c r="E106" s="5" t="s">
        <v>43</v>
      </c>
      <c r="H106" s="5" t="s">
        <v>1421</v>
      </c>
      <c r="I106" s="5" t="s">
        <v>1422</v>
      </c>
      <c r="J106" s="5">
        <v>1.0</v>
      </c>
      <c r="K106" s="5" t="s">
        <v>742</v>
      </c>
      <c r="L106" s="5">
        <v>33150.0</v>
      </c>
      <c r="M106" s="5">
        <v>33119.0</v>
      </c>
      <c r="N106" s="5" t="s">
        <v>290</v>
      </c>
      <c r="O106" s="5" t="s">
        <v>48</v>
      </c>
      <c r="P106" s="5" t="s">
        <v>49</v>
      </c>
      <c r="R106" s="5" t="s">
        <v>1423</v>
      </c>
      <c r="S106" s="5" t="s">
        <v>1424</v>
      </c>
      <c r="U106" s="5" t="s">
        <v>52</v>
      </c>
      <c r="V106" s="5">
        <v>6.71838626E8</v>
      </c>
      <c r="X106" s="5" t="s">
        <v>1425</v>
      </c>
      <c r="Z106" s="5" t="s">
        <v>1426</v>
      </c>
      <c r="AA106" s="6" t="s">
        <v>1427</v>
      </c>
      <c r="AB106" s="6" t="s">
        <v>1428</v>
      </c>
      <c r="AC106" s="5" t="s">
        <v>1425</v>
      </c>
      <c r="AD106" s="5" t="s">
        <v>1429</v>
      </c>
      <c r="AE106" s="5" t="s">
        <v>1430</v>
      </c>
      <c r="AF106" s="5" t="s">
        <v>58</v>
      </c>
      <c r="AG106" s="5" t="s">
        <v>79</v>
      </c>
      <c r="AH106" s="5" t="s">
        <v>99</v>
      </c>
      <c r="AI106" s="7" t="str">
        <f t="shared" si="1"/>
        <v>Gratuit</v>
      </c>
      <c r="AJ106" s="7" t="str">
        <f t="shared" si="2"/>
        <v>gratuit sans restriction</v>
      </c>
      <c r="AK106" s="7" t="str">
        <f t="shared" si="3"/>
        <v>gratuit sans restriction</v>
      </c>
      <c r="AL106" s="5" t="s">
        <v>131</v>
      </c>
      <c r="AM106" s="5" t="s">
        <v>61</v>
      </c>
      <c r="AN106" s="5" t="s">
        <v>1431</v>
      </c>
      <c r="AP106" s="5" t="s">
        <v>1432</v>
      </c>
    </row>
    <row r="107">
      <c r="A107" s="4" t="s">
        <v>1433</v>
      </c>
      <c r="B107" s="5" t="s">
        <v>1434</v>
      </c>
      <c r="C107" s="5" t="s">
        <v>42</v>
      </c>
      <c r="D107" s="5" t="s">
        <v>42</v>
      </c>
      <c r="E107" s="5" t="s">
        <v>43</v>
      </c>
      <c r="H107" s="5" t="s">
        <v>1435</v>
      </c>
      <c r="I107" s="5" t="s">
        <v>1436</v>
      </c>
      <c r="J107" s="5">
        <v>18.0</v>
      </c>
      <c r="K107" s="5" t="s">
        <v>1437</v>
      </c>
      <c r="L107" s="5">
        <v>33310.0</v>
      </c>
      <c r="M107" s="5">
        <v>33249.0</v>
      </c>
      <c r="N107" s="5" t="s">
        <v>306</v>
      </c>
      <c r="O107" s="5" t="s">
        <v>48</v>
      </c>
      <c r="P107" s="5" t="s">
        <v>49</v>
      </c>
      <c r="Q107" s="5" t="s">
        <v>1438</v>
      </c>
      <c r="R107" s="5" t="s">
        <v>1439</v>
      </c>
      <c r="S107" s="5" t="s">
        <v>1440</v>
      </c>
      <c r="U107" s="5" t="s">
        <v>52</v>
      </c>
      <c r="V107" s="5">
        <v>5.56311356E8</v>
      </c>
      <c r="X107" s="5" t="s">
        <v>1441</v>
      </c>
      <c r="Z107" s="5" t="s">
        <v>1442</v>
      </c>
      <c r="AC107" s="5" t="s">
        <v>1441</v>
      </c>
      <c r="AD107" s="5" t="s">
        <v>1443</v>
      </c>
      <c r="AE107" s="5" t="s">
        <v>57</v>
      </c>
      <c r="AF107" s="5" t="s">
        <v>58</v>
      </c>
      <c r="AG107" s="5" t="s">
        <v>79</v>
      </c>
      <c r="AH107" s="5" t="s">
        <v>314</v>
      </c>
      <c r="AI107" s="7" t="str">
        <f t="shared" si="1"/>
        <v>Gratuit,</v>
      </c>
      <c r="AJ107" s="7" t="str">
        <f t="shared" si="2"/>
        <v>avec conditions</v>
      </c>
      <c r="AK107" s="7" t="str">
        <f t="shared" si="3"/>
        <v>avec conditions</v>
      </c>
      <c r="AM107" s="5" t="s">
        <v>100</v>
      </c>
      <c r="AN107" s="5" t="s">
        <v>1444</v>
      </c>
      <c r="AO107" s="5" t="s">
        <v>1445</v>
      </c>
      <c r="AP107" s="5" t="s">
        <v>1446</v>
      </c>
    </row>
    <row r="108">
      <c r="A108" s="4" t="s">
        <v>1447</v>
      </c>
      <c r="B108" s="5" t="s">
        <v>1448</v>
      </c>
      <c r="C108" s="5" t="s">
        <v>137</v>
      </c>
      <c r="D108" s="5" t="s">
        <v>138</v>
      </c>
      <c r="E108" s="5" t="s">
        <v>87</v>
      </c>
      <c r="F108" s="5" t="s">
        <v>1449</v>
      </c>
      <c r="H108" s="5" t="s">
        <v>1450</v>
      </c>
      <c r="I108" s="5" t="s">
        <v>1451</v>
      </c>
      <c r="J108" s="5">
        <v>32.0</v>
      </c>
      <c r="K108" s="5" t="s">
        <v>1452</v>
      </c>
      <c r="L108" s="5">
        <v>33170.0</v>
      </c>
      <c r="M108" s="5">
        <v>33192.0</v>
      </c>
      <c r="N108" s="5" t="s">
        <v>376</v>
      </c>
      <c r="O108" s="5" t="s">
        <v>48</v>
      </c>
      <c r="P108" s="5" t="s">
        <v>49</v>
      </c>
      <c r="R108" s="5" t="s">
        <v>1453</v>
      </c>
      <c r="S108" s="5" t="s">
        <v>1454</v>
      </c>
      <c r="U108" s="5" t="s">
        <v>52</v>
      </c>
      <c r="V108" s="5">
        <v>5.5712189E8</v>
      </c>
      <c r="X108" s="5" t="s">
        <v>1455</v>
      </c>
      <c r="Z108" s="5" t="s">
        <v>1456</v>
      </c>
      <c r="AA108" s="6" t="s">
        <v>1457</v>
      </c>
      <c r="AC108" s="5" t="s">
        <v>1455</v>
      </c>
      <c r="AD108" s="5" t="s">
        <v>1458</v>
      </c>
      <c r="AE108" s="5" t="s">
        <v>57</v>
      </c>
      <c r="AF108" s="5" t="s">
        <v>58</v>
      </c>
      <c r="AG108" s="5" t="s">
        <v>79</v>
      </c>
      <c r="AH108" s="5" t="s">
        <v>314</v>
      </c>
      <c r="AI108" s="7" t="str">
        <f t="shared" si="1"/>
        <v>Gratuit,</v>
      </c>
      <c r="AJ108" s="7" t="str">
        <f t="shared" si="2"/>
        <v>avec conditions</v>
      </c>
      <c r="AK108" s="7" t="str">
        <f t="shared" si="3"/>
        <v>avec conditions</v>
      </c>
      <c r="AL108" s="5" t="s">
        <v>131</v>
      </c>
      <c r="AM108" s="5" t="s">
        <v>61</v>
      </c>
      <c r="AN108" s="5" t="s">
        <v>1459</v>
      </c>
      <c r="AP108" s="5" t="s">
        <v>1460</v>
      </c>
    </row>
    <row r="109">
      <c r="A109" s="4" t="s">
        <v>1461</v>
      </c>
      <c r="B109" s="5" t="s">
        <v>1462</v>
      </c>
      <c r="C109" s="5" t="s">
        <v>42</v>
      </c>
      <c r="D109" s="5" t="s">
        <v>42</v>
      </c>
      <c r="E109" s="5" t="s">
        <v>43</v>
      </c>
      <c r="H109" s="5" t="s">
        <v>1463</v>
      </c>
      <c r="I109" s="5" t="s">
        <v>1464</v>
      </c>
      <c r="J109" s="5">
        <v>8.0</v>
      </c>
      <c r="K109" s="5" t="s">
        <v>1465</v>
      </c>
      <c r="L109" s="5">
        <v>33600.0</v>
      </c>
      <c r="M109" s="5">
        <v>33318.0</v>
      </c>
      <c r="N109" s="5" t="s">
        <v>407</v>
      </c>
      <c r="O109" s="5" t="s">
        <v>48</v>
      </c>
      <c r="P109" s="5" t="s">
        <v>49</v>
      </c>
      <c r="R109" s="5" t="s">
        <v>1466</v>
      </c>
      <c r="S109" s="5" t="s">
        <v>1467</v>
      </c>
      <c r="U109" s="5" t="s">
        <v>52</v>
      </c>
      <c r="V109" s="5">
        <v>5.56514857E8</v>
      </c>
      <c r="X109" s="5" t="s">
        <v>1468</v>
      </c>
      <c r="Z109" s="5" t="s">
        <v>1469</v>
      </c>
      <c r="AA109" s="6" t="s">
        <v>1470</v>
      </c>
      <c r="AB109" s="6" t="s">
        <v>1471</v>
      </c>
      <c r="AC109" s="5" t="s">
        <v>1468</v>
      </c>
      <c r="AD109" s="5" t="s">
        <v>1472</v>
      </c>
      <c r="AE109" s="5" t="s">
        <v>385</v>
      </c>
      <c r="AF109" s="5" t="s">
        <v>58</v>
      </c>
      <c r="AG109" s="5" t="s">
        <v>79</v>
      </c>
      <c r="AH109" s="5" t="s">
        <v>314</v>
      </c>
      <c r="AI109" s="7" t="str">
        <f t="shared" si="1"/>
        <v>Gratuit,</v>
      </c>
      <c r="AJ109" s="7" t="str">
        <f t="shared" si="2"/>
        <v>avec conditions</v>
      </c>
      <c r="AK109" s="7" t="str">
        <f t="shared" si="3"/>
        <v>avec conditions</v>
      </c>
      <c r="AL109" s="5" t="s">
        <v>131</v>
      </c>
      <c r="AM109" s="5" t="s">
        <v>61</v>
      </c>
      <c r="AN109" s="5" t="s">
        <v>1473</v>
      </c>
      <c r="AO109" s="5" t="s">
        <v>528</v>
      </c>
      <c r="AP109" s="5" t="s">
        <v>1474</v>
      </c>
    </row>
    <row r="110">
      <c r="A110" s="4" t="s">
        <v>1475</v>
      </c>
      <c r="B110" s="5" t="s">
        <v>1476</v>
      </c>
      <c r="C110" s="5" t="s">
        <v>119</v>
      </c>
      <c r="D110" s="5" t="s">
        <v>42</v>
      </c>
      <c r="E110" s="5" t="s">
        <v>43</v>
      </c>
      <c r="H110" s="5" t="s">
        <v>1477</v>
      </c>
      <c r="I110" s="5" t="s">
        <v>1478</v>
      </c>
      <c r="J110" s="5">
        <v>68.0</v>
      </c>
      <c r="K110" s="5" t="s">
        <v>1479</v>
      </c>
      <c r="L110" s="5">
        <v>33600.0</v>
      </c>
      <c r="M110" s="5">
        <v>33318.0</v>
      </c>
      <c r="N110" s="5" t="s">
        <v>407</v>
      </c>
      <c r="O110" s="5" t="s">
        <v>48</v>
      </c>
      <c r="P110" s="5" t="s">
        <v>49</v>
      </c>
      <c r="R110" s="5" t="s">
        <v>1480</v>
      </c>
      <c r="S110" s="5" t="s">
        <v>1481</v>
      </c>
      <c r="U110" s="5" t="s">
        <v>52</v>
      </c>
      <c r="V110" s="5">
        <v>5.5645575E8</v>
      </c>
      <c r="X110" s="5" t="s">
        <v>1482</v>
      </c>
      <c r="Z110" s="5" t="s">
        <v>1483</v>
      </c>
      <c r="AB110" s="6" t="s">
        <v>1484</v>
      </c>
      <c r="AC110" s="5" t="s">
        <v>1482</v>
      </c>
      <c r="AD110" s="5" t="s">
        <v>1485</v>
      </c>
      <c r="AE110" s="5" t="s">
        <v>57</v>
      </c>
      <c r="AF110" s="5" t="s">
        <v>58</v>
      </c>
      <c r="AG110" s="5" t="s">
        <v>79</v>
      </c>
      <c r="AH110" s="5" t="s">
        <v>99</v>
      </c>
      <c r="AI110" s="7" t="str">
        <f t="shared" si="1"/>
        <v>Gratuit</v>
      </c>
      <c r="AJ110" s="7" t="str">
        <f t="shared" si="2"/>
        <v>gratuit sans restriction</v>
      </c>
      <c r="AK110" s="7" t="str">
        <f t="shared" si="3"/>
        <v>gratuit sans restriction</v>
      </c>
      <c r="AL110" s="5" t="s">
        <v>131</v>
      </c>
      <c r="AM110" s="5" t="s">
        <v>61</v>
      </c>
      <c r="AN110" s="5" t="s">
        <v>1486</v>
      </c>
      <c r="AO110" s="5" t="s">
        <v>1487</v>
      </c>
      <c r="AP110" s="5" t="s">
        <v>1488</v>
      </c>
    </row>
    <row r="111">
      <c r="A111" s="4" t="s">
        <v>1489</v>
      </c>
      <c r="B111" s="5" t="s">
        <v>1490</v>
      </c>
      <c r="C111" s="5" t="s">
        <v>119</v>
      </c>
      <c r="D111" s="5" t="s">
        <v>42</v>
      </c>
      <c r="E111" s="5" t="s">
        <v>43</v>
      </c>
      <c r="H111" s="5" t="s">
        <v>1491</v>
      </c>
      <c r="I111" s="5" t="s">
        <v>1492</v>
      </c>
      <c r="J111" s="5">
        <v>203.0</v>
      </c>
      <c r="K111" s="5" t="s">
        <v>1493</v>
      </c>
      <c r="L111" s="5">
        <v>33400.0</v>
      </c>
      <c r="M111" s="5">
        <v>33522.0</v>
      </c>
      <c r="N111" s="5" t="s">
        <v>422</v>
      </c>
      <c r="O111" s="5" t="s">
        <v>48</v>
      </c>
      <c r="P111" s="5" t="s">
        <v>49</v>
      </c>
      <c r="R111" s="5" t="s">
        <v>1494</v>
      </c>
      <c r="S111" s="5" t="s">
        <v>1495</v>
      </c>
      <c r="U111" s="5" t="s">
        <v>52</v>
      </c>
      <c r="V111" s="5">
        <v>5.5712403E8</v>
      </c>
      <c r="X111" s="5" t="s">
        <v>1496</v>
      </c>
      <c r="Z111" s="5" t="s">
        <v>1497</v>
      </c>
      <c r="AA111" s="6" t="s">
        <v>1498</v>
      </c>
      <c r="AB111" s="6" t="s">
        <v>1499</v>
      </c>
      <c r="AC111" s="5" t="s">
        <v>1496</v>
      </c>
      <c r="AD111" s="5" t="s">
        <v>1500</v>
      </c>
      <c r="AE111" s="5" t="s">
        <v>57</v>
      </c>
      <c r="AF111" s="5" t="s">
        <v>58</v>
      </c>
      <c r="AG111" s="5" t="s">
        <v>79</v>
      </c>
      <c r="AH111" s="5" t="s">
        <v>99</v>
      </c>
      <c r="AI111" s="7" t="str">
        <f t="shared" si="1"/>
        <v>Gratuit</v>
      </c>
      <c r="AJ111" s="7" t="str">
        <f t="shared" si="2"/>
        <v>gratuit sans restriction</v>
      </c>
      <c r="AK111" s="7" t="str">
        <f t="shared" si="3"/>
        <v>gratuit sans restriction</v>
      </c>
      <c r="AL111" s="5" t="s">
        <v>131</v>
      </c>
      <c r="AM111" s="5" t="s">
        <v>61</v>
      </c>
      <c r="AN111" s="5" t="s">
        <v>1501</v>
      </c>
      <c r="AO111" s="5" t="s">
        <v>528</v>
      </c>
      <c r="AP111" s="5" t="s">
        <v>1502</v>
      </c>
    </row>
    <row r="112">
      <c r="A112" s="4" t="s">
        <v>1503</v>
      </c>
      <c r="B112" s="5" t="s">
        <v>1504</v>
      </c>
      <c r="C112" s="5" t="s">
        <v>137</v>
      </c>
      <c r="D112" s="5" t="s">
        <v>138</v>
      </c>
      <c r="E112" s="5" t="s">
        <v>87</v>
      </c>
      <c r="F112" s="5" t="s">
        <v>418</v>
      </c>
      <c r="H112" s="5" t="s">
        <v>1505</v>
      </c>
      <c r="I112" s="5" t="s">
        <v>1506</v>
      </c>
      <c r="J112" s="5">
        <v>1.0</v>
      </c>
      <c r="K112" s="5" t="s">
        <v>1507</v>
      </c>
      <c r="L112" s="5">
        <v>33400.0</v>
      </c>
      <c r="M112" s="5">
        <v>33522.0</v>
      </c>
      <c r="N112" s="5" t="s">
        <v>422</v>
      </c>
      <c r="O112" s="5" t="s">
        <v>48</v>
      </c>
      <c r="P112" s="5" t="s">
        <v>49</v>
      </c>
      <c r="R112" s="5" t="s">
        <v>1508</v>
      </c>
      <c r="S112" s="5" t="s">
        <v>1509</v>
      </c>
      <c r="U112" s="5" t="s">
        <v>52</v>
      </c>
      <c r="V112" s="5">
        <v>5.5684789E8</v>
      </c>
      <c r="X112" s="5" t="s">
        <v>1510</v>
      </c>
      <c r="Z112" s="5" t="s">
        <v>440</v>
      </c>
      <c r="AA112" s="6" t="s">
        <v>441</v>
      </c>
      <c r="AC112" s="5" t="s">
        <v>1510</v>
      </c>
      <c r="AD112" s="5" t="s">
        <v>1511</v>
      </c>
      <c r="AE112" s="5" t="s">
        <v>313</v>
      </c>
      <c r="AF112" s="5" t="s">
        <v>58</v>
      </c>
      <c r="AG112" s="5" t="s">
        <v>79</v>
      </c>
      <c r="AH112" s="5" t="s">
        <v>60</v>
      </c>
      <c r="AI112" s="7" t="str">
        <f t="shared" si="1"/>
        <v>Gratuit,</v>
      </c>
      <c r="AJ112" s="7" t="str">
        <f t="shared" si="2"/>
        <v>avec conditions</v>
      </c>
      <c r="AK112" s="7" t="str">
        <f t="shared" si="3"/>
        <v>avec conditions</v>
      </c>
      <c r="AL112" s="5" t="s">
        <v>131</v>
      </c>
      <c r="AM112" s="5" t="s">
        <v>61</v>
      </c>
      <c r="AN112" s="5" t="s">
        <v>443</v>
      </c>
      <c r="AP112" s="5" t="s">
        <v>1512</v>
      </c>
    </row>
    <row r="113">
      <c r="A113" s="4" t="s">
        <v>1513</v>
      </c>
      <c r="B113" s="5" t="s">
        <v>1514</v>
      </c>
      <c r="C113" s="5" t="s">
        <v>137</v>
      </c>
      <c r="D113" s="5" t="s">
        <v>138</v>
      </c>
      <c r="E113" s="5" t="s">
        <v>87</v>
      </c>
      <c r="F113" s="5" t="s">
        <v>1515</v>
      </c>
      <c r="H113" s="5" t="s">
        <v>1516</v>
      </c>
      <c r="I113" s="5" t="s">
        <v>1517</v>
      </c>
      <c r="J113" s="5" t="s">
        <v>1518</v>
      </c>
      <c r="K113" s="5" t="s">
        <v>1519</v>
      </c>
      <c r="L113" s="5">
        <v>33140.0</v>
      </c>
      <c r="M113" s="5">
        <v>33550.0</v>
      </c>
      <c r="N113" s="5" t="s">
        <v>1520</v>
      </c>
      <c r="O113" s="5" t="s">
        <v>48</v>
      </c>
      <c r="P113" s="5" t="s">
        <v>49</v>
      </c>
      <c r="R113" s="5" t="s">
        <v>1521</v>
      </c>
      <c r="S113" s="5" t="s">
        <v>1522</v>
      </c>
      <c r="U113" s="5" t="s">
        <v>52</v>
      </c>
      <c r="V113" s="5">
        <v>5.5796563E8</v>
      </c>
      <c r="X113" s="5" t="s">
        <v>1523</v>
      </c>
      <c r="Z113" s="5" t="s">
        <v>1524</v>
      </c>
      <c r="AA113" s="6" t="s">
        <v>1525</v>
      </c>
      <c r="AC113" s="5" t="s">
        <v>1523</v>
      </c>
      <c r="AD113" s="5" t="s">
        <v>1526</v>
      </c>
      <c r="AE113" s="5" t="s">
        <v>385</v>
      </c>
      <c r="AF113" s="5" t="s">
        <v>58</v>
      </c>
      <c r="AG113" s="5" t="s">
        <v>114</v>
      </c>
      <c r="AH113" s="5" t="s">
        <v>60</v>
      </c>
      <c r="AI113" s="7" t="str">
        <f t="shared" si="1"/>
        <v>Gratuit,</v>
      </c>
      <c r="AJ113" s="7" t="str">
        <f t="shared" si="2"/>
        <v>avec conditions</v>
      </c>
      <c r="AK113" s="7" t="str">
        <f t="shared" si="3"/>
        <v>avec conditions</v>
      </c>
      <c r="AL113" s="5" t="s">
        <v>131</v>
      </c>
      <c r="AM113" s="5" t="s">
        <v>100</v>
      </c>
      <c r="AN113" s="5" t="s">
        <v>1527</v>
      </c>
      <c r="AP113" s="5" t="s">
        <v>1528</v>
      </c>
    </row>
    <row r="114">
      <c r="A114" s="4" t="s">
        <v>1529</v>
      </c>
      <c r="B114" s="5" t="s">
        <v>1530</v>
      </c>
      <c r="C114" s="5" t="s">
        <v>137</v>
      </c>
      <c r="D114" s="5" t="s">
        <v>138</v>
      </c>
      <c r="E114" s="5" t="s">
        <v>87</v>
      </c>
      <c r="F114" s="5" t="s">
        <v>1515</v>
      </c>
      <c r="H114" s="5" t="s">
        <v>1531</v>
      </c>
      <c r="I114" s="5" t="s">
        <v>1532</v>
      </c>
      <c r="J114" s="5">
        <v>7.0</v>
      </c>
      <c r="K114" s="5" t="s">
        <v>1533</v>
      </c>
      <c r="L114" s="5">
        <v>33140.0</v>
      </c>
      <c r="M114" s="5">
        <v>33550.0</v>
      </c>
      <c r="N114" s="5" t="s">
        <v>1520</v>
      </c>
      <c r="O114" s="5" t="s">
        <v>48</v>
      </c>
      <c r="P114" s="5" t="s">
        <v>49</v>
      </c>
      <c r="R114" s="5" t="s">
        <v>1534</v>
      </c>
      <c r="S114" s="5" t="s">
        <v>1535</v>
      </c>
      <c r="U114" s="5" t="s">
        <v>52</v>
      </c>
      <c r="V114" s="5">
        <v>5.5796564E8</v>
      </c>
      <c r="X114" s="5" t="s">
        <v>1523</v>
      </c>
      <c r="Z114" s="5" t="s">
        <v>1524</v>
      </c>
      <c r="AA114" s="6" t="s">
        <v>1525</v>
      </c>
      <c r="AC114" s="5" t="s">
        <v>1523</v>
      </c>
      <c r="AD114" s="5" t="s">
        <v>1526</v>
      </c>
      <c r="AE114" s="5" t="s">
        <v>385</v>
      </c>
      <c r="AF114" s="5" t="s">
        <v>58</v>
      </c>
      <c r="AG114" s="5" t="s">
        <v>79</v>
      </c>
      <c r="AH114" s="5" t="s">
        <v>60</v>
      </c>
      <c r="AI114" s="7" t="str">
        <f t="shared" si="1"/>
        <v>Gratuit,</v>
      </c>
      <c r="AJ114" s="7" t="str">
        <f t="shared" si="2"/>
        <v>avec conditions</v>
      </c>
      <c r="AK114" s="7" t="str">
        <f t="shared" si="3"/>
        <v>avec conditions</v>
      </c>
      <c r="AL114" s="5" t="s">
        <v>131</v>
      </c>
      <c r="AM114" s="5" t="s">
        <v>100</v>
      </c>
      <c r="AN114" s="5" t="s">
        <v>1527</v>
      </c>
      <c r="AP114" s="5" t="s">
        <v>1536</v>
      </c>
    </row>
    <row r="115">
      <c r="A115" s="4" t="s">
        <v>1537</v>
      </c>
      <c r="B115" s="5" t="s">
        <v>1538</v>
      </c>
      <c r="C115" s="5" t="s">
        <v>274</v>
      </c>
      <c r="D115" s="5" t="s">
        <v>138</v>
      </c>
      <c r="E115" s="5" t="s">
        <v>87</v>
      </c>
      <c r="F115" s="5" t="s">
        <v>1515</v>
      </c>
      <c r="H115" s="5" t="s">
        <v>1539</v>
      </c>
      <c r="I115" s="5" t="s">
        <v>1540</v>
      </c>
      <c r="J115" s="5">
        <v>45.0</v>
      </c>
      <c r="K115" s="5" t="s">
        <v>1541</v>
      </c>
      <c r="L115" s="5">
        <v>33140.0</v>
      </c>
      <c r="M115" s="5">
        <v>33550.0</v>
      </c>
      <c r="N115" s="5" t="s">
        <v>1520</v>
      </c>
      <c r="O115" s="5" t="s">
        <v>48</v>
      </c>
      <c r="P115" s="5" t="s">
        <v>49</v>
      </c>
      <c r="R115" s="5" t="s">
        <v>1542</v>
      </c>
      <c r="S115" s="5" t="s">
        <v>1543</v>
      </c>
      <c r="U115" s="5" t="s">
        <v>52</v>
      </c>
      <c r="V115" s="5">
        <v>5.56752845E8</v>
      </c>
      <c r="X115" s="5" t="s">
        <v>1544</v>
      </c>
      <c r="Z115" s="5" t="s">
        <v>1545</v>
      </c>
      <c r="AA115" s="6" t="s">
        <v>1546</v>
      </c>
      <c r="AB115" s="6" t="s">
        <v>1547</v>
      </c>
      <c r="AC115" s="5" t="s">
        <v>1544</v>
      </c>
      <c r="AD115" s="5" t="s">
        <v>1548</v>
      </c>
      <c r="AE115" s="5" t="s">
        <v>57</v>
      </c>
      <c r="AF115" s="5" t="s">
        <v>58</v>
      </c>
      <c r="AG115" s="5" t="s">
        <v>79</v>
      </c>
      <c r="AH115" s="5" t="s">
        <v>99</v>
      </c>
      <c r="AI115" s="7" t="str">
        <f t="shared" si="1"/>
        <v>Gratuit</v>
      </c>
      <c r="AJ115" s="7" t="str">
        <f t="shared" si="2"/>
        <v>gratuit sans restriction</v>
      </c>
      <c r="AK115" s="7" t="str">
        <f t="shared" si="3"/>
        <v>gratuit sans restriction</v>
      </c>
      <c r="AL115" s="5" t="s">
        <v>131</v>
      </c>
      <c r="AM115" s="5" t="s">
        <v>100</v>
      </c>
      <c r="AN115" s="5" t="s">
        <v>1549</v>
      </c>
      <c r="AP115" s="5" t="s">
        <v>1550</v>
      </c>
    </row>
    <row r="116">
      <c r="A116" s="4" t="s">
        <v>1551</v>
      </c>
      <c r="B116" s="5" t="s">
        <v>1552</v>
      </c>
      <c r="C116" s="5" t="s">
        <v>137</v>
      </c>
      <c r="D116" s="5" t="s">
        <v>138</v>
      </c>
      <c r="E116" s="5" t="s">
        <v>87</v>
      </c>
      <c r="F116" s="5" t="s">
        <v>1553</v>
      </c>
      <c r="H116" s="5" t="s">
        <v>1554</v>
      </c>
      <c r="I116" s="5" t="s">
        <v>1555</v>
      </c>
      <c r="J116" s="5">
        <v>4.0</v>
      </c>
      <c r="K116" s="5" t="s">
        <v>1556</v>
      </c>
      <c r="L116" s="5">
        <v>33290.0</v>
      </c>
      <c r="M116" s="5">
        <v>33056.0</v>
      </c>
      <c r="N116" s="5" t="s">
        <v>1557</v>
      </c>
      <c r="O116" s="5" t="s">
        <v>48</v>
      </c>
      <c r="P116" s="5" t="s">
        <v>49</v>
      </c>
      <c r="R116" s="5" t="s">
        <v>1558</v>
      </c>
      <c r="S116" s="5" t="s">
        <v>1559</v>
      </c>
      <c r="U116" s="5" t="s">
        <v>52</v>
      </c>
      <c r="V116" s="5">
        <v>5.5657484E8</v>
      </c>
      <c r="X116" s="5" t="s">
        <v>1560</v>
      </c>
      <c r="Z116" s="5" t="s">
        <v>1561</v>
      </c>
      <c r="AA116" s="6" t="s">
        <v>1562</v>
      </c>
      <c r="AB116" s="6" t="s">
        <v>1563</v>
      </c>
      <c r="AC116" s="5" t="s">
        <v>1560</v>
      </c>
      <c r="AD116" s="5" t="s">
        <v>1564</v>
      </c>
      <c r="AE116" s="5" t="s">
        <v>57</v>
      </c>
      <c r="AF116" s="5" t="s">
        <v>58</v>
      </c>
      <c r="AG116" s="5" t="s">
        <v>79</v>
      </c>
      <c r="AH116" s="5" t="s">
        <v>99</v>
      </c>
      <c r="AI116" s="7" t="str">
        <f t="shared" si="1"/>
        <v>Gratuit</v>
      </c>
      <c r="AJ116" s="7" t="str">
        <f t="shared" si="2"/>
        <v>gratuit sans restriction</v>
      </c>
      <c r="AK116" s="7" t="str">
        <f t="shared" si="3"/>
        <v>gratuit sans restriction</v>
      </c>
      <c r="AL116" s="5" t="s">
        <v>131</v>
      </c>
      <c r="AM116" s="5" t="s">
        <v>61</v>
      </c>
      <c r="AN116" s="5" t="s">
        <v>1565</v>
      </c>
      <c r="AP116" s="5" t="s">
        <v>1566</v>
      </c>
    </row>
    <row r="117">
      <c r="A117" s="4" t="s">
        <v>1567</v>
      </c>
      <c r="B117" s="5" t="s">
        <v>1568</v>
      </c>
      <c r="C117" s="5" t="s">
        <v>137</v>
      </c>
      <c r="D117" s="5" t="s">
        <v>138</v>
      </c>
      <c r="E117" s="5" t="s">
        <v>87</v>
      </c>
      <c r="F117" s="5" t="s">
        <v>1569</v>
      </c>
      <c r="H117" s="5" t="s">
        <v>1570</v>
      </c>
      <c r="I117" s="5" t="s">
        <v>1571</v>
      </c>
      <c r="J117" s="5">
        <v>30.0</v>
      </c>
      <c r="K117" s="5" t="s">
        <v>1572</v>
      </c>
      <c r="L117" s="5">
        <v>33185.0</v>
      </c>
      <c r="M117" s="5">
        <v>33200.0</v>
      </c>
      <c r="N117" s="5" t="s">
        <v>965</v>
      </c>
      <c r="O117" s="5" t="s">
        <v>48</v>
      </c>
      <c r="P117" s="5" t="s">
        <v>49</v>
      </c>
      <c r="R117" s="5" t="s">
        <v>1573</v>
      </c>
      <c r="S117" s="5" t="s">
        <v>1574</v>
      </c>
      <c r="U117" s="5" t="s">
        <v>52</v>
      </c>
      <c r="V117" s="5">
        <v>5.57931131E8</v>
      </c>
      <c r="X117" s="5" t="s">
        <v>1575</v>
      </c>
      <c r="Z117" s="5" t="s">
        <v>1576</v>
      </c>
      <c r="AA117" s="6" t="s">
        <v>1577</v>
      </c>
      <c r="AC117" s="5" t="s">
        <v>1575</v>
      </c>
      <c r="AD117" s="5" t="s">
        <v>1578</v>
      </c>
      <c r="AE117" s="5" t="s">
        <v>130</v>
      </c>
      <c r="AF117" s="5" t="s">
        <v>58</v>
      </c>
      <c r="AG117" s="5" t="s">
        <v>79</v>
      </c>
      <c r="AH117" s="5" t="s">
        <v>60</v>
      </c>
      <c r="AI117" s="7" t="str">
        <f t="shared" si="1"/>
        <v>Gratuit,</v>
      </c>
      <c r="AJ117" s="7" t="str">
        <f t="shared" si="2"/>
        <v>avec conditions</v>
      </c>
      <c r="AK117" s="7" t="str">
        <f t="shared" si="3"/>
        <v>avec conditions</v>
      </c>
      <c r="AL117" s="5" t="s">
        <v>131</v>
      </c>
      <c r="AM117" s="5" t="s">
        <v>61</v>
      </c>
      <c r="AN117" s="5" t="s">
        <v>1579</v>
      </c>
      <c r="AP117" s="5" t="s">
        <v>1580</v>
      </c>
    </row>
    <row r="118">
      <c r="A118" s="4" t="s">
        <v>1581</v>
      </c>
      <c r="B118" s="5" t="s">
        <v>1582</v>
      </c>
      <c r="C118" s="5" t="s">
        <v>274</v>
      </c>
      <c r="D118" s="5" t="s">
        <v>138</v>
      </c>
      <c r="E118" s="5" t="s">
        <v>87</v>
      </c>
      <c r="H118" s="5" t="s">
        <v>1583</v>
      </c>
      <c r="I118" s="5" t="s">
        <v>1584</v>
      </c>
      <c r="J118" s="5">
        <v>60.0</v>
      </c>
      <c r="K118" s="5" t="s">
        <v>848</v>
      </c>
      <c r="L118" s="5">
        <v>33700.0</v>
      </c>
      <c r="M118" s="5">
        <v>33281.0</v>
      </c>
      <c r="N118" s="5" t="s">
        <v>477</v>
      </c>
      <c r="O118" s="5" t="s">
        <v>48</v>
      </c>
      <c r="P118" s="5" t="s">
        <v>49</v>
      </c>
      <c r="R118" s="5" t="s">
        <v>1585</v>
      </c>
      <c r="S118" s="5" t="s">
        <v>1586</v>
      </c>
      <c r="U118" s="5" t="s">
        <v>52</v>
      </c>
      <c r="V118" s="5">
        <v>5.56556655E8</v>
      </c>
      <c r="X118" s="5" t="s">
        <v>1587</v>
      </c>
      <c r="Z118" s="5" t="s">
        <v>1588</v>
      </c>
      <c r="AA118" s="6" t="s">
        <v>1589</v>
      </c>
      <c r="AB118" s="6" t="s">
        <v>1590</v>
      </c>
      <c r="AC118" s="5" t="s">
        <v>1587</v>
      </c>
      <c r="AD118" s="5" t="s">
        <v>1591</v>
      </c>
      <c r="AE118" s="5" t="s">
        <v>78</v>
      </c>
      <c r="AF118" s="5" t="s">
        <v>58</v>
      </c>
      <c r="AG118" s="5" t="s">
        <v>79</v>
      </c>
      <c r="AH118" s="5" t="s">
        <v>99</v>
      </c>
      <c r="AI118" s="7" t="str">
        <f t="shared" si="1"/>
        <v>Gratuit</v>
      </c>
      <c r="AJ118" s="7" t="str">
        <f t="shared" si="2"/>
        <v>gratuit sans restriction</v>
      </c>
      <c r="AK118" s="7" t="str">
        <f t="shared" si="3"/>
        <v>gratuit sans restriction</v>
      </c>
      <c r="AL118" s="5" t="s">
        <v>131</v>
      </c>
      <c r="AM118" s="5" t="s">
        <v>61</v>
      </c>
      <c r="AN118" s="5" t="s">
        <v>1592</v>
      </c>
      <c r="AP118" s="5" t="s">
        <v>1593</v>
      </c>
    </row>
    <row r="119">
      <c r="A119" s="4" t="s">
        <v>1594</v>
      </c>
      <c r="B119" s="5" t="s">
        <v>1595</v>
      </c>
      <c r="C119" s="5" t="s">
        <v>42</v>
      </c>
      <c r="D119" s="5" t="s">
        <v>42</v>
      </c>
      <c r="E119" s="5" t="s">
        <v>43</v>
      </c>
      <c r="H119" s="5" t="s">
        <v>1596</v>
      </c>
      <c r="I119" s="5" t="s">
        <v>994</v>
      </c>
      <c r="J119" s="5">
        <v>55.0</v>
      </c>
      <c r="K119" s="5" t="s">
        <v>848</v>
      </c>
      <c r="L119" s="5">
        <v>33700.0</v>
      </c>
      <c r="M119" s="5">
        <v>33281.0</v>
      </c>
      <c r="N119" s="5" t="s">
        <v>477</v>
      </c>
      <c r="O119" s="5" t="s">
        <v>48</v>
      </c>
      <c r="P119" s="5" t="s">
        <v>49</v>
      </c>
      <c r="R119" s="5" t="s">
        <v>995</v>
      </c>
      <c r="S119" s="5" t="s">
        <v>996</v>
      </c>
      <c r="U119" s="5" t="s">
        <v>52</v>
      </c>
      <c r="V119" s="5">
        <v>6.0107825E8</v>
      </c>
      <c r="X119" s="5" t="s">
        <v>1597</v>
      </c>
      <c r="Z119" s="5" t="s">
        <v>1598</v>
      </c>
      <c r="AA119" s="6" t="s">
        <v>1599</v>
      </c>
      <c r="AB119" s="6" t="s">
        <v>1600</v>
      </c>
      <c r="AC119" s="5" t="s">
        <v>1597</v>
      </c>
      <c r="AE119" s="5" t="s">
        <v>57</v>
      </c>
      <c r="AF119" s="5" t="s">
        <v>58</v>
      </c>
      <c r="AG119" s="5" t="s">
        <v>79</v>
      </c>
      <c r="AH119" s="5" t="s">
        <v>99</v>
      </c>
      <c r="AI119" s="7" t="str">
        <f t="shared" si="1"/>
        <v>Gratuit</v>
      </c>
      <c r="AJ119" s="7" t="str">
        <f t="shared" si="2"/>
        <v>gratuit sans restriction</v>
      </c>
      <c r="AK119" s="7" t="str">
        <f t="shared" si="3"/>
        <v>gratuit sans restriction</v>
      </c>
      <c r="AL119" s="5" t="s">
        <v>131</v>
      </c>
      <c r="AM119" s="5" t="s">
        <v>61</v>
      </c>
      <c r="AN119" s="5" t="s">
        <v>1601</v>
      </c>
      <c r="AP119" s="5" t="s">
        <v>1002</v>
      </c>
    </row>
    <row r="120">
      <c r="A120" s="4" t="s">
        <v>1602</v>
      </c>
      <c r="B120" s="5" t="s">
        <v>1603</v>
      </c>
      <c r="C120" s="5" t="s">
        <v>1314</v>
      </c>
      <c r="D120" s="5" t="s">
        <v>138</v>
      </c>
      <c r="E120" s="5" t="s">
        <v>87</v>
      </c>
      <c r="F120" s="5" t="s">
        <v>1604</v>
      </c>
      <c r="H120" s="5" t="s">
        <v>1605</v>
      </c>
      <c r="I120" s="5" t="s">
        <v>1606</v>
      </c>
      <c r="J120" s="5">
        <v>74.0</v>
      </c>
      <c r="K120" s="5" t="s">
        <v>1607</v>
      </c>
      <c r="L120" s="5">
        <v>33700.0</v>
      </c>
      <c r="M120" s="5">
        <v>33281.0</v>
      </c>
      <c r="N120" s="5" t="s">
        <v>477</v>
      </c>
      <c r="O120" s="5" t="s">
        <v>48</v>
      </c>
      <c r="P120" s="5" t="s">
        <v>49</v>
      </c>
      <c r="R120" s="5" t="s">
        <v>1608</v>
      </c>
      <c r="S120" s="5" t="s">
        <v>1609</v>
      </c>
      <c r="U120" s="5" t="s">
        <v>52</v>
      </c>
      <c r="V120" s="5">
        <v>5.56346105E8</v>
      </c>
      <c r="W120" s="5">
        <v>5.5700022E8</v>
      </c>
      <c r="X120" s="5" t="s">
        <v>1610</v>
      </c>
      <c r="Z120" s="5" t="s">
        <v>1611</v>
      </c>
      <c r="AA120" s="6" t="s">
        <v>1612</v>
      </c>
      <c r="AB120" s="6" t="s">
        <v>1613</v>
      </c>
      <c r="AC120" s="5" t="s">
        <v>1610</v>
      </c>
      <c r="AD120" s="5" t="s">
        <v>1614</v>
      </c>
      <c r="AE120" s="5" t="s">
        <v>57</v>
      </c>
      <c r="AG120" s="5" t="s">
        <v>79</v>
      </c>
      <c r="AH120" s="5" t="s">
        <v>60</v>
      </c>
      <c r="AI120" s="7" t="str">
        <f t="shared" si="1"/>
        <v>Gratuit,</v>
      </c>
      <c r="AJ120" s="7" t="str">
        <f t="shared" si="2"/>
        <v>avec conditions</v>
      </c>
      <c r="AK120" s="7" t="str">
        <f t="shared" si="3"/>
        <v>avec conditions</v>
      </c>
      <c r="AL120" s="5" t="s">
        <v>131</v>
      </c>
      <c r="AM120" s="5" t="s">
        <v>61</v>
      </c>
      <c r="AN120" s="5" t="s">
        <v>1615</v>
      </c>
      <c r="AP120" s="5" t="s">
        <v>1616</v>
      </c>
    </row>
    <row r="121">
      <c r="A121" s="4" t="s">
        <v>1617</v>
      </c>
      <c r="B121" s="5" t="s">
        <v>1618</v>
      </c>
      <c r="C121" s="5" t="s">
        <v>137</v>
      </c>
      <c r="D121" s="5" t="s">
        <v>138</v>
      </c>
      <c r="E121" s="5" t="s">
        <v>87</v>
      </c>
      <c r="F121" s="5" t="s">
        <v>1604</v>
      </c>
      <c r="H121" s="5" t="s">
        <v>1619</v>
      </c>
      <c r="I121" s="5" t="s">
        <v>1620</v>
      </c>
      <c r="J121" s="5">
        <v>19.0</v>
      </c>
      <c r="K121" s="5" t="s">
        <v>1020</v>
      </c>
      <c r="L121" s="5">
        <v>33700.0</v>
      </c>
      <c r="M121" s="5">
        <v>33281.0</v>
      </c>
      <c r="N121" s="5" t="s">
        <v>477</v>
      </c>
      <c r="O121" s="5" t="s">
        <v>48</v>
      </c>
      <c r="P121" s="5" t="s">
        <v>49</v>
      </c>
      <c r="R121" s="5" t="s">
        <v>1621</v>
      </c>
      <c r="S121" s="5" t="s">
        <v>1622</v>
      </c>
      <c r="U121" s="5" t="s">
        <v>52</v>
      </c>
      <c r="V121" s="5">
        <v>5.5700022E8</v>
      </c>
      <c r="X121" s="5" t="s">
        <v>1623</v>
      </c>
      <c r="Z121" s="5" t="s">
        <v>1611</v>
      </c>
      <c r="AA121" s="6" t="s">
        <v>1612</v>
      </c>
      <c r="AB121" s="6" t="s">
        <v>1613</v>
      </c>
      <c r="AC121" s="5" t="s">
        <v>1623</v>
      </c>
      <c r="AD121" s="5" t="s">
        <v>1624</v>
      </c>
      <c r="AE121" s="5" t="s">
        <v>57</v>
      </c>
      <c r="AG121" s="5" t="s">
        <v>79</v>
      </c>
      <c r="AH121" s="5" t="s">
        <v>60</v>
      </c>
      <c r="AI121" s="7" t="str">
        <f t="shared" si="1"/>
        <v>Gratuit,</v>
      </c>
      <c r="AJ121" s="7" t="str">
        <f t="shared" si="2"/>
        <v>avec conditions</v>
      </c>
      <c r="AK121" s="7" t="str">
        <f t="shared" si="3"/>
        <v>avec conditions</v>
      </c>
      <c r="AL121" s="5" t="s">
        <v>131</v>
      </c>
      <c r="AM121" s="5" t="s">
        <v>61</v>
      </c>
      <c r="AN121" s="5" t="s">
        <v>1625</v>
      </c>
      <c r="AP121" s="5" t="s">
        <v>1626</v>
      </c>
    </row>
    <row r="122">
      <c r="A122" s="4" t="s">
        <v>1627</v>
      </c>
      <c r="B122" s="5" t="s">
        <v>1628</v>
      </c>
      <c r="C122" s="5" t="s">
        <v>42</v>
      </c>
      <c r="D122" s="5" t="s">
        <v>42</v>
      </c>
      <c r="E122" s="5" t="s">
        <v>43</v>
      </c>
      <c r="H122" s="5" t="s">
        <v>1629</v>
      </c>
      <c r="I122" s="5" t="s">
        <v>1630</v>
      </c>
      <c r="J122" s="5">
        <v>9.0</v>
      </c>
      <c r="K122" s="5" t="s">
        <v>1631</v>
      </c>
      <c r="L122" s="5">
        <v>33700.0</v>
      </c>
      <c r="M122" s="5">
        <v>33281.0</v>
      </c>
      <c r="N122" s="5" t="s">
        <v>477</v>
      </c>
      <c r="O122" s="5" t="s">
        <v>48</v>
      </c>
      <c r="P122" s="5" t="s">
        <v>49</v>
      </c>
      <c r="R122" s="5" t="s">
        <v>1632</v>
      </c>
      <c r="S122" s="5" t="s">
        <v>1633</v>
      </c>
      <c r="U122" s="5" t="s">
        <v>52</v>
      </c>
      <c r="V122" s="5">
        <v>5.56471407E8</v>
      </c>
      <c r="X122" s="5" t="s">
        <v>1634</v>
      </c>
      <c r="Z122" s="5" t="s">
        <v>1635</v>
      </c>
      <c r="AA122" s="6" t="s">
        <v>1636</v>
      </c>
      <c r="AB122" s="6" t="s">
        <v>1637</v>
      </c>
      <c r="AC122" s="5" t="s">
        <v>1634</v>
      </c>
      <c r="AD122" s="5" t="s">
        <v>1638</v>
      </c>
      <c r="AE122" s="5" t="s">
        <v>1430</v>
      </c>
      <c r="AF122" s="5" t="s">
        <v>58</v>
      </c>
      <c r="AG122" s="5" t="s">
        <v>114</v>
      </c>
      <c r="AH122" s="5" t="s">
        <v>99</v>
      </c>
      <c r="AI122" s="7" t="str">
        <f t="shared" si="1"/>
        <v>Gratuit</v>
      </c>
      <c r="AJ122" s="7" t="str">
        <f t="shared" si="2"/>
        <v>gratuit sans restriction</v>
      </c>
      <c r="AK122" s="7" t="str">
        <f t="shared" si="3"/>
        <v>gratuit sans restriction</v>
      </c>
      <c r="AM122" s="5" t="s">
        <v>100</v>
      </c>
      <c r="AN122" s="5" t="s">
        <v>1639</v>
      </c>
      <c r="AO122" s="5" t="s">
        <v>166</v>
      </c>
      <c r="AP122" s="5" t="s">
        <v>1640</v>
      </c>
    </row>
    <row r="123">
      <c r="A123" s="4" t="s">
        <v>1641</v>
      </c>
      <c r="B123" s="5" t="s">
        <v>1642</v>
      </c>
      <c r="C123" s="5" t="s">
        <v>274</v>
      </c>
      <c r="D123" s="5" t="s">
        <v>138</v>
      </c>
      <c r="E123" s="5" t="s">
        <v>87</v>
      </c>
      <c r="F123" s="5" t="s">
        <v>139</v>
      </c>
      <c r="H123" s="5" t="s">
        <v>1090</v>
      </c>
      <c r="I123" s="5" t="s">
        <v>1643</v>
      </c>
      <c r="J123" s="5">
        <v>33.0</v>
      </c>
      <c r="K123" s="5" t="s">
        <v>1644</v>
      </c>
      <c r="L123" s="5">
        <v>33000.0</v>
      </c>
      <c r="M123" s="5">
        <v>33063.0</v>
      </c>
      <c r="N123" s="5" t="s">
        <v>47</v>
      </c>
      <c r="O123" s="5" t="s">
        <v>48</v>
      </c>
      <c r="P123" s="5" t="s">
        <v>49</v>
      </c>
      <c r="R123" s="5" t="s">
        <v>1645</v>
      </c>
      <c r="S123" s="5" t="s">
        <v>1646</v>
      </c>
      <c r="U123" s="5" t="s">
        <v>52</v>
      </c>
      <c r="V123" s="5">
        <v>5.56797344E8</v>
      </c>
      <c r="X123" s="5" t="s">
        <v>1095</v>
      </c>
      <c r="Z123" s="5" t="s">
        <v>1096</v>
      </c>
      <c r="AA123" s="6" t="s">
        <v>1097</v>
      </c>
      <c r="AB123" s="6" t="s">
        <v>1098</v>
      </c>
      <c r="AC123" s="5" t="s">
        <v>1095</v>
      </c>
      <c r="AD123" s="5" t="s">
        <v>327</v>
      </c>
      <c r="AE123" s="5" t="s">
        <v>78</v>
      </c>
      <c r="AF123" s="5" t="s">
        <v>58</v>
      </c>
      <c r="AG123" s="5" t="s">
        <v>59</v>
      </c>
      <c r="AH123" s="5" t="s">
        <v>80</v>
      </c>
      <c r="AI123" s="7" t="str">
        <f t="shared" si="1"/>
        <v>Payant</v>
      </c>
      <c r="AJ123" s="7" t="str">
        <f t="shared" si="2"/>
        <v>avec conditions</v>
      </c>
      <c r="AK123" s="7" t="str">
        <f t="shared" si="3"/>
        <v>avec conditions</v>
      </c>
      <c r="AL123" s="5" t="s">
        <v>131</v>
      </c>
      <c r="AM123" s="5" t="s">
        <v>61</v>
      </c>
      <c r="AN123" s="5" t="s">
        <v>1099</v>
      </c>
      <c r="AP123" s="5" t="s">
        <v>1647</v>
      </c>
    </row>
    <row r="124">
      <c r="A124" s="4" t="s">
        <v>1648</v>
      </c>
      <c r="B124" s="5" t="s">
        <v>1649</v>
      </c>
      <c r="C124" s="5" t="s">
        <v>42</v>
      </c>
      <c r="D124" s="5" t="s">
        <v>42</v>
      </c>
      <c r="E124" s="5" t="s">
        <v>43</v>
      </c>
      <c r="G124" s="5">
        <v>7.82E13</v>
      </c>
      <c r="H124" s="5" t="s">
        <v>1650</v>
      </c>
      <c r="I124" s="5" t="s">
        <v>1651</v>
      </c>
      <c r="K124" s="5" t="s">
        <v>1652</v>
      </c>
      <c r="L124" s="5">
        <v>33200.0</v>
      </c>
      <c r="M124" s="5">
        <v>33063.0</v>
      </c>
      <c r="N124" s="5" t="s">
        <v>47</v>
      </c>
      <c r="O124" s="5" t="s">
        <v>48</v>
      </c>
      <c r="P124" s="5" t="s">
        <v>49</v>
      </c>
      <c r="R124" s="5" t="s">
        <v>1653</v>
      </c>
      <c r="S124" s="5" t="s">
        <v>1654</v>
      </c>
      <c r="U124" s="5" t="s">
        <v>52</v>
      </c>
      <c r="V124" s="5">
        <v>5.5697581E8</v>
      </c>
      <c r="X124" s="5" t="s">
        <v>1655</v>
      </c>
      <c r="Z124" s="5" t="s">
        <v>1656</v>
      </c>
      <c r="AA124" s="6" t="s">
        <v>1657</v>
      </c>
      <c r="AB124" s="6" t="s">
        <v>525</v>
      </c>
      <c r="AC124" s="5" t="s">
        <v>1655</v>
      </c>
      <c r="AD124" s="5" t="s">
        <v>1658</v>
      </c>
      <c r="AE124" s="5" t="s">
        <v>1659</v>
      </c>
      <c r="AF124" s="5" t="s">
        <v>58</v>
      </c>
      <c r="AG124" s="5" t="s">
        <v>79</v>
      </c>
      <c r="AH124" s="5" t="s">
        <v>99</v>
      </c>
      <c r="AI124" s="7" t="str">
        <f t="shared" si="1"/>
        <v>Gratuit</v>
      </c>
      <c r="AJ124" s="7" t="str">
        <f t="shared" si="2"/>
        <v>gratuit sans restriction</v>
      </c>
      <c r="AK124" s="7" t="str">
        <f t="shared" si="3"/>
        <v>gratuit sans restriction</v>
      </c>
      <c r="AL124" s="5" t="s">
        <v>131</v>
      </c>
      <c r="AM124" s="5" t="s">
        <v>61</v>
      </c>
      <c r="AN124" s="5" t="s">
        <v>1660</v>
      </c>
      <c r="AO124" s="5" t="s">
        <v>528</v>
      </c>
      <c r="AP124" s="5" t="s">
        <v>1661</v>
      </c>
    </row>
    <row r="125">
      <c r="A125" s="4" t="s">
        <v>1662</v>
      </c>
      <c r="B125" s="5" t="s">
        <v>1663</v>
      </c>
      <c r="C125" s="5" t="s">
        <v>274</v>
      </c>
      <c r="D125" s="5" t="s">
        <v>138</v>
      </c>
      <c r="E125" s="5" t="s">
        <v>87</v>
      </c>
      <c r="F125" s="5" t="s">
        <v>1449</v>
      </c>
      <c r="H125" s="5" t="s">
        <v>1664</v>
      </c>
      <c r="I125" s="5" t="s">
        <v>1665</v>
      </c>
      <c r="J125" s="5" t="s">
        <v>1666</v>
      </c>
      <c r="K125" s="5" t="s">
        <v>1667</v>
      </c>
      <c r="L125" s="5">
        <v>33170.0</v>
      </c>
      <c r="M125" s="5">
        <v>33192.0</v>
      </c>
      <c r="N125" s="5" t="s">
        <v>376</v>
      </c>
      <c r="O125" s="5" t="s">
        <v>48</v>
      </c>
      <c r="P125" s="5" t="s">
        <v>49</v>
      </c>
      <c r="R125" s="5" t="s">
        <v>1668</v>
      </c>
      <c r="S125" s="5" t="s">
        <v>1669</v>
      </c>
      <c r="U125" s="5" t="s">
        <v>52</v>
      </c>
      <c r="V125" s="5">
        <v>5.56940582E8</v>
      </c>
      <c r="X125" s="5" t="s">
        <v>1670</v>
      </c>
      <c r="Z125" s="5" t="s">
        <v>1671</v>
      </c>
      <c r="AC125" s="5" t="s">
        <v>1670</v>
      </c>
      <c r="AD125" s="5" t="s">
        <v>1672</v>
      </c>
      <c r="AE125" s="5" t="s">
        <v>57</v>
      </c>
      <c r="AF125" s="5" t="s">
        <v>58</v>
      </c>
      <c r="AG125" s="5" t="s">
        <v>114</v>
      </c>
      <c r="AH125" s="5" t="s">
        <v>314</v>
      </c>
      <c r="AI125" s="7" t="str">
        <f t="shared" si="1"/>
        <v>Gratuit,</v>
      </c>
      <c r="AJ125" s="7" t="str">
        <f t="shared" si="2"/>
        <v>avec conditions</v>
      </c>
      <c r="AK125" s="7" t="str">
        <f t="shared" si="3"/>
        <v>avec conditions</v>
      </c>
      <c r="AL125" s="5" t="s">
        <v>131</v>
      </c>
      <c r="AM125" s="5" t="s">
        <v>100</v>
      </c>
      <c r="AN125" s="5" t="s">
        <v>1673</v>
      </c>
      <c r="AP125" s="5" t="s">
        <v>1674</v>
      </c>
    </row>
    <row r="126">
      <c r="A126" s="4" t="s">
        <v>1675</v>
      </c>
      <c r="B126" s="5" t="s">
        <v>1676</v>
      </c>
      <c r="C126" s="5" t="s">
        <v>274</v>
      </c>
      <c r="D126" s="5" t="s">
        <v>138</v>
      </c>
      <c r="E126" s="5" t="s">
        <v>87</v>
      </c>
      <c r="F126" s="5" t="s">
        <v>911</v>
      </c>
      <c r="H126" s="5" t="s">
        <v>1677</v>
      </c>
      <c r="I126" s="5" t="s">
        <v>1678</v>
      </c>
      <c r="K126" s="5" t="s">
        <v>1678</v>
      </c>
      <c r="L126" s="5">
        <v>33320.0</v>
      </c>
      <c r="M126" s="5">
        <v>33162.0</v>
      </c>
      <c r="N126" s="5" t="s">
        <v>914</v>
      </c>
      <c r="O126" s="5" t="s">
        <v>48</v>
      </c>
      <c r="P126" s="5" t="s">
        <v>49</v>
      </c>
      <c r="R126" s="5" t="s">
        <v>1679</v>
      </c>
      <c r="S126" s="5" t="s">
        <v>1680</v>
      </c>
      <c r="U126" s="5" t="s">
        <v>52</v>
      </c>
      <c r="V126" s="5">
        <v>5.56518285E8</v>
      </c>
      <c r="X126" s="5" t="s">
        <v>1681</v>
      </c>
      <c r="Z126" s="5" t="s">
        <v>1682</v>
      </c>
      <c r="AC126" s="5" t="s">
        <v>1681</v>
      </c>
      <c r="AD126" s="5" t="s">
        <v>1683</v>
      </c>
      <c r="AE126" s="5" t="s">
        <v>57</v>
      </c>
      <c r="AF126" s="5" t="s">
        <v>58</v>
      </c>
      <c r="AG126" s="5" t="s">
        <v>114</v>
      </c>
      <c r="AH126" s="5" t="s">
        <v>99</v>
      </c>
      <c r="AI126" s="7" t="str">
        <f t="shared" si="1"/>
        <v>Gratuit</v>
      </c>
      <c r="AJ126" s="7" t="str">
        <f t="shared" si="2"/>
        <v>gratuit sans restriction</v>
      </c>
      <c r="AK126" s="7" t="str">
        <f t="shared" si="3"/>
        <v>gratuit sans restriction</v>
      </c>
      <c r="AL126" s="5" t="s">
        <v>131</v>
      </c>
      <c r="AM126" s="5" t="s">
        <v>100</v>
      </c>
      <c r="AN126" s="5" t="s">
        <v>1684</v>
      </c>
      <c r="AO126" s="5" t="s">
        <v>1347</v>
      </c>
      <c r="AP126" s="5" t="s">
        <v>1685</v>
      </c>
    </row>
  </sheetData>
  <autoFilter ref="$A$1:$AR$126"/>
  <hyperlinks>
    <hyperlink r:id="rId1" ref="AA2"/>
    <hyperlink r:id="rId2" ref="AA3"/>
    <hyperlink r:id="rId3" ref="AB3"/>
    <hyperlink r:id="rId4" ref="AA4"/>
    <hyperlink r:id="rId5" ref="AA5"/>
    <hyperlink r:id="rId6" ref="AB5"/>
    <hyperlink r:id="rId7" ref="AA6"/>
    <hyperlink r:id="rId8" ref="AB6"/>
    <hyperlink r:id="rId9" ref="AA7"/>
    <hyperlink r:id="rId10" ref="AB7"/>
    <hyperlink r:id="rId11" ref="AA8"/>
    <hyperlink r:id="rId12" ref="AB8"/>
    <hyperlink r:id="rId13" ref="AA9"/>
    <hyperlink r:id="rId14" ref="AB9"/>
    <hyperlink r:id="rId15" ref="AA10"/>
    <hyperlink r:id="rId16" ref="AA11"/>
    <hyperlink r:id="rId17" ref="AA12"/>
    <hyperlink r:id="rId18" ref="AB12"/>
    <hyperlink r:id="rId19" ref="AA13"/>
    <hyperlink r:id="rId20" ref="AB13"/>
    <hyperlink r:id="rId21" ref="AA14"/>
    <hyperlink r:id="rId22" ref="AB14"/>
    <hyperlink r:id="rId23" ref="AA15"/>
    <hyperlink r:id="rId24" ref="AB15"/>
    <hyperlink r:id="rId25" ref="AB16"/>
    <hyperlink r:id="rId26" ref="AA17"/>
    <hyperlink r:id="rId27" ref="AA18"/>
    <hyperlink r:id="rId28" ref="AB18"/>
    <hyperlink r:id="rId29" ref="AB19"/>
    <hyperlink r:id="rId30" ref="AA20"/>
    <hyperlink r:id="rId31" ref="AA21"/>
    <hyperlink r:id="rId32" ref="AA23"/>
    <hyperlink r:id="rId33" ref="AA24"/>
    <hyperlink r:id="rId34" ref="AB24"/>
    <hyperlink r:id="rId35" ref="AA25"/>
    <hyperlink r:id="rId36" ref="AA26"/>
    <hyperlink r:id="rId37" ref="AA27"/>
    <hyperlink r:id="rId38" ref="AB27"/>
    <hyperlink r:id="rId39" ref="AA28"/>
    <hyperlink r:id="rId40" ref="AA29"/>
    <hyperlink r:id="rId41" ref="AB29"/>
    <hyperlink r:id="rId42" ref="AA30"/>
    <hyperlink r:id="rId43" ref="AA31"/>
    <hyperlink r:id="rId44" ref="AB31"/>
    <hyperlink r:id="rId45" ref="AA32"/>
    <hyperlink r:id="rId46" ref="AB32"/>
    <hyperlink r:id="rId47" ref="AA33"/>
    <hyperlink r:id="rId48" ref="AB33"/>
    <hyperlink r:id="rId49" ref="AA34"/>
    <hyperlink r:id="rId50" ref="AB34"/>
    <hyperlink r:id="rId51" ref="AA35"/>
    <hyperlink r:id="rId52" ref="AA36"/>
    <hyperlink r:id="rId53" ref="AA37"/>
    <hyperlink r:id="rId54" ref="AB37"/>
    <hyperlink r:id="rId55" ref="AA38"/>
    <hyperlink r:id="rId56" ref="AB38"/>
    <hyperlink r:id="rId57" ref="AA39"/>
    <hyperlink r:id="rId58" ref="AA40"/>
    <hyperlink r:id="rId59" ref="AB40"/>
    <hyperlink r:id="rId60" ref="AA41"/>
    <hyperlink r:id="rId61" ref="AA42"/>
    <hyperlink r:id="rId62" ref="AA43"/>
    <hyperlink r:id="rId63" ref="AB43"/>
    <hyperlink r:id="rId64" ref="AA44"/>
    <hyperlink r:id="rId65" ref="AA45"/>
    <hyperlink r:id="rId66" ref="AB45"/>
    <hyperlink r:id="rId67" ref="AA46"/>
    <hyperlink r:id="rId68" ref="AA47"/>
    <hyperlink r:id="rId69" ref="AA48"/>
    <hyperlink r:id="rId70" ref="AA49"/>
    <hyperlink r:id="rId71" ref="AA50"/>
    <hyperlink r:id="rId72" ref="AA51"/>
    <hyperlink r:id="rId73" ref="AA52"/>
    <hyperlink r:id="rId74" ref="AB52"/>
    <hyperlink r:id="rId75" ref="AA53"/>
    <hyperlink r:id="rId76" ref="AB53"/>
    <hyperlink r:id="rId77" ref="AA54"/>
    <hyperlink r:id="rId78" ref="AA57"/>
    <hyperlink r:id="rId79" ref="AA58"/>
    <hyperlink r:id="rId80" ref="AB58"/>
    <hyperlink r:id="rId81" ref="AA59"/>
    <hyperlink r:id="rId82" ref="AB59"/>
    <hyperlink r:id="rId83" ref="AA60"/>
    <hyperlink r:id="rId84" ref="AA61"/>
    <hyperlink r:id="rId85" ref="AB61"/>
    <hyperlink r:id="rId86" ref="AA62"/>
    <hyperlink r:id="rId87" ref="AA63"/>
    <hyperlink r:id="rId88" ref="AA64"/>
    <hyperlink r:id="rId89" ref="AA65"/>
    <hyperlink r:id="rId90" ref="AA66"/>
    <hyperlink r:id="rId91" ref="AB66"/>
    <hyperlink r:id="rId92" ref="AA67"/>
    <hyperlink r:id="rId93" ref="AB67"/>
    <hyperlink r:id="rId94" ref="AA68"/>
    <hyperlink r:id="rId95" ref="AB68"/>
    <hyperlink r:id="rId96" ref="AA69"/>
    <hyperlink r:id="rId97" ref="AB69"/>
    <hyperlink r:id="rId98" ref="AA70"/>
    <hyperlink r:id="rId99" ref="AB70"/>
    <hyperlink r:id="rId100" ref="AA71"/>
    <hyperlink r:id="rId101" ref="AA72"/>
    <hyperlink r:id="rId102" ref="AA73"/>
    <hyperlink r:id="rId103" ref="AB73"/>
    <hyperlink r:id="rId104" ref="AA74"/>
    <hyperlink r:id="rId105" ref="AB74"/>
    <hyperlink r:id="rId106" ref="AA75"/>
    <hyperlink r:id="rId107" ref="AA76"/>
    <hyperlink r:id="rId108" ref="AA77"/>
    <hyperlink r:id="rId109" ref="AB77"/>
    <hyperlink r:id="rId110" ref="AA78"/>
    <hyperlink r:id="rId111" ref="AA79"/>
    <hyperlink r:id="rId112" ref="AB79"/>
    <hyperlink r:id="rId113" ref="AA80"/>
    <hyperlink r:id="rId114" ref="AB80"/>
    <hyperlink r:id="rId115" ref="AA81"/>
    <hyperlink r:id="rId116" ref="AB81"/>
    <hyperlink r:id="rId117" ref="AA82"/>
    <hyperlink r:id="rId118" ref="AB82"/>
    <hyperlink r:id="rId119" ref="AA83"/>
    <hyperlink r:id="rId120" ref="AB83"/>
    <hyperlink r:id="rId121" ref="AA84"/>
    <hyperlink r:id="rId122" ref="AB84"/>
    <hyperlink r:id="rId123" ref="AA85"/>
    <hyperlink r:id="rId124" ref="AA86"/>
    <hyperlink r:id="rId125" ref="AA87"/>
    <hyperlink r:id="rId126" ref="AB87"/>
    <hyperlink r:id="rId127" ref="AA88"/>
    <hyperlink r:id="rId128" ref="AA89"/>
    <hyperlink r:id="rId129" ref="AA90"/>
    <hyperlink r:id="rId130" ref="AB90"/>
    <hyperlink r:id="rId131" ref="AA91"/>
    <hyperlink r:id="rId132" ref="AB91"/>
    <hyperlink r:id="rId133" ref="AA92"/>
    <hyperlink r:id="rId134" ref="AB92"/>
    <hyperlink r:id="rId135" ref="AA93"/>
    <hyperlink r:id="rId136" ref="AB93"/>
    <hyperlink r:id="rId137" ref="AA94"/>
    <hyperlink r:id="rId138" ref="AA95"/>
    <hyperlink r:id="rId139" ref="AB95"/>
    <hyperlink r:id="rId140" ref="AA96"/>
    <hyperlink r:id="rId141" ref="AA97"/>
    <hyperlink r:id="rId142" ref="AB97"/>
    <hyperlink r:id="rId143" ref="AA98"/>
    <hyperlink r:id="rId144" ref="AA99"/>
    <hyperlink r:id="rId145" ref="AB99"/>
    <hyperlink r:id="rId146" ref="AA101"/>
    <hyperlink r:id="rId147" ref="AB101"/>
    <hyperlink r:id="rId148" ref="AA102"/>
    <hyperlink r:id="rId149" ref="AA103"/>
    <hyperlink r:id="rId150" ref="AA104"/>
    <hyperlink r:id="rId151" ref="AB104"/>
    <hyperlink r:id="rId152" ref="AA105"/>
    <hyperlink r:id="rId153" ref="AB105"/>
    <hyperlink r:id="rId154" ref="AA106"/>
    <hyperlink r:id="rId155" ref="AB106"/>
    <hyperlink r:id="rId156" ref="AA108"/>
    <hyperlink r:id="rId157" ref="AA109"/>
    <hyperlink r:id="rId158" ref="AB109"/>
    <hyperlink r:id="rId159" ref="AB110"/>
    <hyperlink r:id="rId160" ref="AA111"/>
    <hyperlink r:id="rId161" ref="AB111"/>
    <hyperlink r:id="rId162" ref="AA112"/>
    <hyperlink r:id="rId163" ref="AA113"/>
    <hyperlink r:id="rId164" ref="AA114"/>
    <hyperlink r:id="rId165" ref="AA115"/>
    <hyperlink r:id="rId166" ref="AB115"/>
    <hyperlink r:id="rId167" ref="AA116"/>
    <hyperlink r:id="rId168" ref="AB116"/>
    <hyperlink r:id="rId169" ref="AA117"/>
    <hyperlink r:id="rId170" ref="AA118"/>
    <hyperlink r:id="rId171" ref="AB118"/>
    <hyperlink r:id="rId172" ref="AA119"/>
    <hyperlink r:id="rId173" ref="AB119"/>
    <hyperlink r:id="rId174" ref="AA120"/>
    <hyperlink r:id="rId175" ref="AB120"/>
    <hyperlink r:id="rId176" ref="AA121"/>
    <hyperlink r:id="rId177" ref="AB121"/>
    <hyperlink r:id="rId178" ref="AA122"/>
    <hyperlink r:id="rId179" ref="AB122"/>
    <hyperlink r:id="rId180" ref="AA123"/>
    <hyperlink r:id="rId181" ref="AB123"/>
    <hyperlink r:id="rId182" ref="AA124"/>
    <hyperlink r:id="rId183" ref="AB124"/>
  </hyperlinks>
  <drawing r:id="rId184"/>
</worksheet>
</file>